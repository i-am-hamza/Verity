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mza\Downloads\"/>
    </mc:Choice>
  </mc:AlternateContent>
  <xr:revisionPtr revIDLastSave="0" documentId="13_ncr:1_{849AAAE6-3FDB-49AE-9627-BE3F9C3C71AA}" xr6:coauthVersionLast="47" xr6:coauthVersionMax="47" xr10:uidLastSave="{00000000-0000-0000-0000-000000000000}"/>
  <bookViews>
    <workbookView xWindow="-120" yWindow="-120" windowWidth="29040" windowHeight="16440" tabRatio="500" activeTab="1" xr2:uid="{00000000-000D-0000-FFFF-FFFF00000000}"/>
  </bookViews>
  <sheets>
    <sheet name="Read me" sheetId="1" r:id="rId1"/>
    <sheet name="To source" sheetId="2" r:id="rId2"/>
  </sheets>
  <definedNames>
    <definedName name="_xlnm._FilterDatabase" localSheetId="1" hidden="1">'To source'!$A$1:$K$45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1" i="1" l="1"/>
  <c r="C20" i="1"/>
  <c r="C19" i="1"/>
  <c r="C18" i="1"/>
  <c r="C17" i="1"/>
</calcChain>
</file>

<file path=xl/sharedStrings.xml><?xml version="1.0" encoding="utf-8"?>
<sst xmlns="http://schemas.openxmlformats.org/spreadsheetml/2006/main" count="387" uniqueCount="160">
  <si>
    <t>Verity: reports still to source or check</t>
  </si>
  <si>
    <t>44 company-years without a usable annual report, from Claude Code's usability check</t>
  </si>
  <si>
    <t>What each problem means</t>
  </si>
  <si>
    <t>Truncated (22)</t>
  </si>
  <si>
    <t>A broken download of 0–6 pages, left over from old web-archive collection. The full report is needed.</t>
  </si>
  <si>
    <t>Short (4)</t>
  </si>
  <si>
    <t>Under 30 pages: probably a summary or highlights booklet rather than the full annual report.</t>
  </si>
  <si>
    <t>Wrong document type (16)</t>
  </si>
  <si>
    <t>A substantial document that Verity did not recognise as an annual report. It may be the annual report (like the six you confirmed earlier) or another bank document, such as Basel Pillar 3 disclosures or standalone financial statements.</t>
  </si>
  <si>
    <t>Check (2)</t>
  </si>
  <si>
    <t>Counted as usable, but short enough to be a summary. Worth a quick look.</t>
  </si>
  <si>
    <t>How to use</t>
  </si>
  <si>
    <t>Files to open</t>
  </si>
  <si>
    <t>For 'Wrong document type' and 'Check' rows, Claude Code will copy each document into E:\9. Verity\storage\review\ under the name in column H.</t>
  </si>
  <si>
    <t>New files</t>
  </si>
  <si>
    <t>Save any full report you find in E:\9. Verity\storage\reports\ under the name in column I, so it matches automatically.</t>
  </si>
  <si>
    <t>Result</t>
  </si>
  <si>
    <t>Pick one: Full report added to folder · Existing file is the annual report · Not available.</t>
  </si>
  <si>
    <t>Progress (updates as you fill in)</t>
  </si>
  <si>
    <t>Rows</t>
  </si>
  <si>
    <t>Full report added to folder</t>
  </si>
  <si>
    <t>Existing file is the annual report</t>
  </si>
  <si>
    <t>Not available</t>
  </si>
  <si>
    <t>Still to do</t>
  </si>
  <si>
    <t>#</t>
  </si>
  <si>
    <t>Company</t>
  </si>
  <si>
    <t>Country</t>
  </si>
  <si>
    <t>Fiscal year</t>
  </si>
  <si>
    <t>Problem</t>
  </si>
  <si>
    <t>Pages now</t>
  </si>
  <si>
    <t>What to do</t>
  </si>
  <si>
    <t>File to open (in storage\review)</t>
  </si>
  <si>
    <t>Save a new file as (in storage\reports)</t>
  </si>
  <si>
    <t>Comment</t>
  </si>
  <si>
    <t>The Saudi National Bank</t>
  </si>
  <si>
    <t>Saudi Arabia</t>
  </si>
  <si>
    <t>Truncated</t>
  </si>
  <si>
    <t>2</t>
  </si>
  <si>
    <t>The document in Verity is a broken fragment. Find the full English annual report and save it in storage\reports.</t>
  </si>
  <si>
    <t>—</t>
  </si>
  <si>
    <t>The Saudi National Bank Annual Report 2021.pdf</t>
  </si>
  <si>
    <t>Riyad Bank</t>
  </si>
  <si>
    <t>1–3</t>
  </si>
  <si>
    <t>Riyad Bank Annual Report 2021.pdf</t>
  </si>
  <si>
    <t>Riyad Bank Annual Report 2024.pdf</t>
  </si>
  <si>
    <t>Riyad Bank Annual Report 2025.pdf</t>
  </si>
  <si>
    <t>Bank Albilad</t>
  </si>
  <si>
    <t>Bank Albilad Annual Report 2021.pdf</t>
  </si>
  <si>
    <t>Bank Albilad Annual Report 2023.pdf</t>
  </si>
  <si>
    <t>Saudi Industrial Investment Group</t>
  </si>
  <si>
    <t>0</t>
  </si>
  <si>
    <t>Saudi Industrial Investment Group Annual Report 2021.pdf</t>
  </si>
  <si>
    <t>Abu Dhabi Commercial Bank</t>
  </si>
  <si>
    <t>United Arab Emirates</t>
  </si>
  <si>
    <t>Abu Dhabi Commercial Bank Annual Report 2022.pdf</t>
  </si>
  <si>
    <t>Abu Dhabi Commercial Bank Annual Report 2023.pdf</t>
  </si>
  <si>
    <t>The National Bank of Ras Al Khaimah</t>
  </si>
  <si>
    <t>3</t>
  </si>
  <si>
    <t>The National Bank of Ras Al Khaimah Annual Report 2022.pdf</t>
  </si>
  <si>
    <t>Dubai Investments PJSC</t>
  </si>
  <si>
    <t>Dubai Investments PJSC Annual Report 2021.pdf</t>
  </si>
  <si>
    <t>Emirates NBD PJSC</t>
  </si>
  <si>
    <t>4</t>
  </si>
  <si>
    <t>Emirates NBD PJSC Annual Report 2022.pdf</t>
  </si>
  <si>
    <t>Kuwait Finance House</t>
  </si>
  <si>
    <t>Kuwait</t>
  </si>
  <si>
    <t>Kuwait Finance House Annual Report 2021.pdf</t>
  </si>
  <si>
    <t>Boubyan Bank</t>
  </si>
  <si>
    <t>1–4</t>
  </si>
  <si>
    <t>Boubyan Bank Annual Report 2021.pdf</t>
  </si>
  <si>
    <t>Boubyan Bank Annual Report 2022.pdf</t>
  </si>
  <si>
    <t>Boubyan Bank Annual Report 2025.pdf</t>
  </si>
  <si>
    <t>Bank Muscat BKMB</t>
  </si>
  <si>
    <t>Oman</t>
  </si>
  <si>
    <t>3–6</t>
  </si>
  <si>
    <t>Bank Muscat BKMB Annual Report 2021.pdf</t>
  </si>
  <si>
    <t>Bank Muscat BKMB Annual Report 2024.pdf</t>
  </si>
  <si>
    <t>Oman International Development and Investment Company</t>
  </si>
  <si>
    <t>Oman International Development and Investment Company Annual Report 2025.pdf</t>
  </si>
  <si>
    <t>Bank Dhofar</t>
  </si>
  <si>
    <t>Bank Dhofar Annual Report 2021.pdf</t>
  </si>
  <si>
    <t>Bank Dhofar Annual Report 2023.pdf</t>
  </si>
  <si>
    <t>Bank Dhofar Annual Report 2024.pdf</t>
  </si>
  <si>
    <t>Air Arabia PJSC</t>
  </si>
  <si>
    <t>Short</t>
  </si>
  <si>
    <t>28</t>
  </si>
  <si>
    <t>Looks like a summary or highlights booklet. Find the full annual report. If this really is the company's only annual report, choose 'Existing file is the annual report'.</t>
  </si>
  <si>
    <t>Air Arabia PJSC Annual Report 2020.pdf</t>
  </si>
  <si>
    <t>22</t>
  </si>
  <si>
    <t>Air Arabia PJSC Annual Report 2021.pdf</t>
  </si>
  <si>
    <t>Salam International Investment</t>
  </si>
  <si>
    <t>Qatar</t>
  </si>
  <si>
    <t>15</t>
  </si>
  <si>
    <t>Salam International Investment Annual Report 2020.pdf</t>
  </si>
  <si>
    <t>29</t>
  </si>
  <si>
    <t>Salam International Investment Annual Report 2021.pdf</t>
  </si>
  <si>
    <t>Al Rajhi Bank</t>
  </si>
  <si>
    <t>Wrong document type</t>
  </si>
  <si>
    <t>418</t>
  </si>
  <si>
    <t>Open the file in storage\review (name in column H). If it is the annual report, choose 'Existing file is the annual report'. If not, find the annual report and save it in storage\reports.</t>
  </si>
  <si>
    <t>al-rajhi-bank FY2024 418p.pdf</t>
  </si>
  <si>
    <t>Al Rajhi Bank Annual Report 2024.pdf</t>
  </si>
  <si>
    <t>89</t>
  </si>
  <si>
    <t>the-saudi-national-bank FY2023 89p.pdf</t>
  </si>
  <si>
    <t>The Saudi National Bank Annual Report 2023.pdf</t>
  </si>
  <si>
    <t>82</t>
  </si>
  <si>
    <t>the-saudi-national-bank FY2024 82p.pdf</t>
  </si>
  <si>
    <t>The Saudi National Bank Annual Report 2024.pdf</t>
  </si>
  <si>
    <t>18</t>
  </si>
  <si>
    <t>riyad-bank FY2023 18p.pdf</t>
  </si>
  <si>
    <t>Riyad Bank Annual Report 2023.pdf</t>
  </si>
  <si>
    <t>55</t>
  </si>
  <si>
    <t>the-national-bank-of-ras-al-khaimah FY2023 55p.pdf</t>
  </si>
  <si>
    <t>The National Bank of Ras Al Khaimah Annual Report 2023.pdf</t>
  </si>
  <si>
    <t>Dubai Islamic Bank</t>
  </si>
  <si>
    <t>107</t>
  </si>
  <si>
    <t>dubai-islamic-bank FY2024 107p.pdf</t>
  </si>
  <si>
    <t>Dubai Islamic Bank Annual Report 2024.pdf</t>
  </si>
  <si>
    <t>30</t>
  </si>
  <si>
    <t>dubai-investment FY2024 30p.pdf</t>
  </si>
  <si>
    <t>Dubai Investments PJSC Annual Report 2024.pdf</t>
  </si>
  <si>
    <t>QNB (Qatar National Bank)</t>
  </si>
  <si>
    <t>72</t>
  </si>
  <si>
    <t>qnb-qatar-national-bank FY2021 72p.pdf</t>
  </si>
  <si>
    <t>QNB (Qatar National Bank) Annual Report 2021.pdf</t>
  </si>
  <si>
    <t>113</t>
  </si>
  <si>
    <t>kuwait-finance-house FY2023 113p.pdf</t>
  </si>
  <si>
    <t>Kuwait Finance House Annual Report 2023.pdf</t>
  </si>
  <si>
    <t>National Bank of Kuwait</t>
  </si>
  <si>
    <t>192</t>
  </si>
  <si>
    <t>national-bank-of-kuwait FY2021 192p.pdf</t>
  </si>
  <si>
    <t>National Bank of Kuwait Annual Report 2021.pdf</t>
  </si>
  <si>
    <t>151</t>
  </si>
  <si>
    <t>boubyan-bank FY2023 151p.pdf</t>
  </si>
  <si>
    <t>Boubyan Bank Annual Report 2023.pdf</t>
  </si>
  <si>
    <t>164</t>
  </si>
  <si>
    <t>boubyan-bank FY2024 164p.pdf</t>
  </si>
  <si>
    <t>Boubyan Bank Annual Report 2024.pdf</t>
  </si>
  <si>
    <t>65</t>
  </si>
  <si>
    <t>bank-muscat-bkmb FY2022 65p.pdf</t>
  </si>
  <si>
    <t>Bank Muscat BKMB Annual Report 2022.pdf</t>
  </si>
  <si>
    <t>42</t>
  </si>
  <si>
    <t>bank-dhofar FY2022 42p.pdf</t>
  </si>
  <si>
    <t>Bank Dhofar Annual Report 2022.pdf</t>
  </si>
  <si>
    <t>National Bank of Bahrain</t>
  </si>
  <si>
    <t>Bahrain</t>
  </si>
  <si>
    <t>80</t>
  </si>
  <si>
    <t>national-bank-of-bahrain FY2020 80p.pdf</t>
  </si>
  <si>
    <t>National Bank of Bahrain Annual Report 2020.pdf</t>
  </si>
  <si>
    <t>108</t>
  </si>
  <si>
    <t>national-bank-of-bahrain FY2022 108p.pdf</t>
  </si>
  <si>
    <t>National Bank of Bahrain Annual Report 2022.pdf</t>
  </si>
  <si>
    <t>Abdullah Al Othaim Markets</t>
  </si>
  <si>
    <t>Check</t>
  </si>
  <si>
    <t>33</t>
  </si>
  <si>
    <t>Open the file in storage\review (name in column H) and confirm it is the full annual report, not a summary.</t>
  </si>
  <si>
    <t>abdullah-al-othaim-markets FY2021 33p.pdf</t>
  </si>
  <si>
    <t>Abdullah Al Othaim Markets Annual Report 2021.pdf</t>
  </si>
  <si>
    <t>emirates-nbd-pjsc FY2020 30p.pdf</t>
  </si>
  <si>
    <t>Emirates NBD PJSC Annual Report 2020.pdf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</si>
</sst>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6"/>
      <color rgb="FF15232B"/>
      <name val="Arial"/>
      <charset val="1"/>
    </font>
    <font>
      <i/>
      <sz val="10"/>
      <color rgb="FF5B6770"/>
      <name val="Arial"/>
      <charset val="1"/>
    </font>
    <font>
      <b/>
      <sz val="12"/>
      <color rgb="FF15232B"/>
      <name val="Arial"/>
      <charset val="1"/>
    </font>
    <font>
      <b/>
      <sz val="10"/>
      <name val="Arial"/>
      <charset val="1"/>
    </font>
    <font>
      <sz val="10"/>
      <name val="Arial"/>
      <charset val="1"/>
    </font>
    <font>
      <b/>
      <sz val="10"/>
      <color rgb="FFFFFFFF"/>
      <name val="Arial"/>
      <charset val="1"/>
    </font>
  </fonts>
  <fills count="5">
    <fill>
      <patternFill patternType="none"/>
    </fill>
    <fill>
      <patternFill patternType="gray125"/>
    </fill>
    <fill>
      <patternFill patternType="solid">
        <fgColor rgb="FF15232B"/>
        <bgColor rgb="FF003300"/>
      </patternFill>
    </fill>
    <fill>
      <patternFill patternType="solid">
        <fgColor rgb="FF8A5513"/>
        <bgColor rgb="FF808000"/>
      </patternFill>
    </fill>
    <fill>
      <patternFill patternType="solid">
        <fgColor rgb="FFFFF2CC"/>
        <bgColor rgb="FFFCE5CD"/>
      </patternFill>
    </fill>
  </fills>
  <borders count="2">
    <border>
      <left/>
      <right/>
      <top/>
      <bottom/>
      <diagonal/>
    </border>
    <border>
      <left style="thin">
        <color rgb="FFD9D1C1"/>
      </left>
      <right style="thin">
        <color rgb="FFD9D1C1"/>
      </right>
      <top style="thin">
        <color rgb="FFD9D1C1"/>
      </top>
      <bottom style="thin">
        <color rgb="FFD9D1C1"/>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5" fillId="0" borderId="0" xfId="0" applyFont="1"/>
    <xf numFmtId="0" fontId="4" fillId="0" borderId="0" xfId="0" applyFont="1" applyAlignment="1">
      <alignment horizontal="left"/>
    </xf>
    <xf numFmtId="0" fontId="6" fillId="2" borderId="1" xfId="0" applyFont="1" applyFill="1" applyBorder="1" applyAlignment="1">
      <alignment vertical="center" wrapText="1"/>
    </xf>
    <xf numFmtId="0" fontId="6" fillId="3"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horizontal="center" vertical="top"/>
    </xf>
    <xf numFmtId="0" fontId="5" fillId="4" borderId="1" xfId="0" applyFont="1" applyFill="1" applyBorder="1" applyAlignment="1">
      <alignment vertical="top" wrapText="1"/>
    </xf>
  </cellXfs>
  <cellStyles count="1">
    <cellStyle name="Normal" xfId="0" builtinId="0"/>
  </cellStyles>
  <dxfs count="7">
    <dxf>
      <fill>
        <patternFill>
          <bgColor rgb="FFF4CCCC"/>
        </patternFill>
      </fill>
    </dxf>
    <dxf>
      <fill>
        <patternFill>
          <bgColor rgb="FFD9EAD3"/>
        </patternFill>
      </fill>
    </dxf>
    <dxf>
      <fill>
        <patternFill>
          <bgColor rgb="FFD9EAD3"/>
        </patternFill>
      </fill>
    </dxf>
    <dxf>
      <fill>
        <patternFill>
          <bgColor rgb="FFDCE9F5"/>
        </patternFill>
      </fill>
    </dxf>
    <dxf>
      <fill>
        <patternFill>
          <bgColor rgb="FFFFF2CC"/>
        </patternFill>
      </fill>
    </dxf>
    <dxf>
      <fill>
        <patternFill>
          <bgColor rgb="FFFCE5CD"/>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1C1"/>
      <rgbColor rgb="FF808080"/>
      <rgbColor rgb="FF9999FF"/>
      <rgbColor rgb="FF993366"/>
      <rgbColor rgb="FFFFF2CC"/>
      <rgbColor rgb="FFDCE9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B6770"/>
      <rgbColor rgb="FF969696"/>
      <rgbColor rgb="FF003366"/>
      <rgbColor rgb="FF339966"/>
      <rgbColor rgb="FF003300"/>
      <rgbColor rgb="FF333300"/>
      <rgbColor rgb="FF8A5513"/>
      <rgbColor rgb="FF993366"/>
      <rgbColor rgb="FF333399"/>
      <rgbColor rgb="FF1523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1"/>
  <sheetViews>
    <sheetView showGridLines="0" zoomScaleNormal="100" workbookViewId="0"/>
  </sheetViews>
  <sheetFormatPr defaultColWidth="8.7109375" defaultRowHeight="15" x14ac:dyDescent="0.25"/>
  <cols>
    <col min="1" max="1" width="3" customWidth="1"/>
    <col min="2" max="2" width="46" customWidth="1"/>
    <col min="3" max="3" width="76" customWidth="1"/>
  </cols>
  <sheetData>
    <row r="2" spans="2:3" ht="20.25" x14ac:dyDescent="0.3">
      <c r="B2" s="1" t="s">
        <v>0</v>
      </c>
    </row>
    <row r="3" spans="2:3" x14ac:dyDescent="0.25">
      <c r="B3" s="2" t="s">
        <v>1</v>
      </c>
    </row>
    <row r="5" spans="2:3" ht="15.75" x14ac:dyDescent="0.25">
      <c r="B5" s="3" t="s">
        <v>2</v>
      </c>
    </row>
    <row r="6" spans="2:3" ht="25.5" x14ac:dyDescent="0.25">
      <c r="B6" s="4" t="s">
        <v>3</v>
      </c>
      <c r="C6" s="5" t="s">
        <v>4</v>
      </c>
    </row>
    <row r="7" spans="2:3" ht="25.5" x14ac:dyDescent="0.25">
      <c r="B7" s="4" t="s">
        <v>5</v>
      </c>
      <c r="C7" s="5" t="s">
        <v>6</v>
      </c>
    </row>
    <row r="8" spans="2:3" ht="38.25" x14ac:dyDescent="0.25">
      <c r="B8" s="4" t="s">
        <v>7</v>
      </c>
      <c r="C8" s="5" t="s">
        <v>8</v>
      </c>
    </row>
    <row r="9" spans="2:3" x14ac:dyDescent="0.25">
      <c r="B9" s="4" t="s">
        <v>9</v>
      </c>
      <c r="C9" s="5" t="s">
        <v>10</v>
      </c>
    </row>
    <row r="11" spans="2:3" ht="15.75" x14ac:dyDescent="0.25">
      <c r="B11" s="3" t="s">
        <v>11</v>
      </c>
    </row>
    <row r="12" spans="2:3" ht="25.5" x14ac:dyDescent="0.25">
      <c r="B12" s="4" t="s">
        <v>12</v>
      </c>
      <c r="C12" s="5" t="s">
        <v>13</v>
      </c>
    </row>
    <row r="13" spans="2:3" ht="25.5" x14ac:dyDescent="0.25">
      <c r="B13" s="4" t="s">
        <v>14</v>
      </c>
      <c r="C13" s="5" t="s">
        <v>15</v>
      </c>
    </row>
    <row r="14" spans="2:3" x14ac:dyDescent="0.25">
      <c r="B14" s="4" t="s">
        <v>16</v>
      </c>
      <c r="C14" s="5" t="s">
        <v>17</v>
      </c>
    </row>
    <row r="16" spans="2:3" ht="15.75" x14ac:dyDescent="0.25">
      <c r="B16" s="3" t="s">
        <v>18</v>
      </c>
    </row>
    <row r="17" spans="2:3" x14ac:dyDescent="0.25">
      <c r="B17" s="6" t="s">
        <v>19</v>
      </c>
      <c r="C17" s="7">
        <f>COUNTA('To source'!B2:B45)</f>
        <v>44</v>
      </c>
    </row>
    <row r="18" spans="2:3" x14ac:dyDescent="0.25">
      <c r="B18" s="6" t="s">
        <v>20</v>
      </c>
      <c r="C18" s="7">
        <f>COUNTIF('To source'!J2:J45,"Full report added to folder")</f>
        <v>36</v>
      </c>
    </row>
    <row r="19" spans="2:3" x14ac:dyDescent="0.25">
      <c r="B19" s="6" t="s">
        <v>21</v>
      </c>
      <c r="C19" s="7">
        <f>COUNTIF('To source'!J2:J45,"Existing file is the annual report")</f>
        <v>8</v>
      </c>
    </row>
    <row r="20" spans="2:3" x14ac:dyDescent="0.25">
      <c r="B20" s="6" t="s">
        <v>22</v>
      </c>
      <c r="C20" s="7">
        <f>COUNTIF('To source'!J2:J45,"Not available")</f>
        <v>0</v>
      </c>
    </row>
    <row r="21" spans="2:3" x14ac:dyDescent="0.25">
      <c r="B21" s="6" t="s">
        <v>23</v>
      </c>
      <c r="C21" s="7">
        <f>COUNTBLANK('To source'!J2:J45)</f>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5"/>
  <sheetViews>
    <sheetView tabSelected="1" zoomScaleNormal="100" workbookViewId="0">
      <pane xSplit="2" ySplit="1" topLeftCell="C2" activePane="bottomRight" state="frozen"/>
      <selection pane="topRight" activeCell="C1" sqref="C1"/>
      <selection pane="bottomLeft" activeCell="A2" sqref="A2"/>
      <selection pane="bottomRight" activeCell="J23" sqref="J23"/>
    </sheetView>
  </sheetViews>
  <sheetFormatPr defaultColWidth="8.7109375" defaultRowHeight="15" x14ac:dyDescent="0.25"/>
  <cols>
    <col min="1" max="1" width="5" customWidth="1"/>
    <col min="2" max="2" width="34" customWidth="1"/>
    <col min="3" max="3" width="14" customWidth="1"/>
    <col min="4" max="4" width="8" customWidth="1"/>
    <col min="5" max="5" width="16" customWidth="1"/>
    <col min="6" max="6" width="8" customWidth="1"/>
    <col min="7" max="7" width="58" customWidth="1"/>
    <col min="8" max="8" width="40" customWidth="1"/>
    <col min="9" max="9" width="44" customWidth="1"/>
    <col min="10" max="10" width="30" customWidth="1"/>
    <col min="11" max="11" width="36" customWidth="1"/>
  </cols>
  <sheetData>
    <row r="1" spans="1:11" ht="33.75" customHeight="1" x14ac:dyDescent="0.25">
      <c r="A1" s="8" t="s">
        <v>24</v>
      </c>
      <c r="B1" s="8" t="s">
        <v>25</v>
      </c>
      <c r="C1" s="8" t="s">
        <v>26</v>
      </c>
      <c r="D1" s="8" t="s">
        <v>27</v>
      </c>
      <c r="E1" s="8" t="s">
        <v>28</v>
      </c>
      <c r="F1" s="8" t="s">
        <v>29</v>
      </c>
      <c r="G1" s="8" t="s">
        <v>30</v>
      </c>
      <c r="H1" s="8" t="s">
        <v>31</v>
      </c>
      <c r="I1" s="8" t="s">
        <v>32</v>
      </c>
      <c r="J1" s="9" t="s">
        <v>16</v>
      </c>
      <c r="K1" s="9" t="s">
        <v>33</v>
      </c>
    </row>
    <row r="2" spans="1:11" ht="25.5" x14ac:dyDescent="0.25">
      <c r="A2" s="10">
        <v>1</v>
      </c>
      <c r="B2" s="11" t="s">
        <v>34</v>
      </c>
      <c r="C2" s="10" t="s">
        <v>35</v>
      </c>
      <c r="D2" s="12">
        <v>2021</v>
      </c>
      <c r="E2" s="10" t="s">
        <v>36</v>
      </c>
      <c r="F2" s="12" t="s">
        <v>37</v>
      </c>
      <c r="G2" s="10" t="s">
        <v>38</v>
      </c>
      <c r="H2" s="10" t="s">
        <v>39</v>
      </c>
      <c r="I2" s="10" t="s">
        <v>40</v>
      </c>
      <c r="J2" s="13" t="s">
        <v>20</v>
      </c>
      <c r="K2" s="13"/>
    </row>
    <row r="3" spans="1:11" ht="25.5" x14ac:dyDescent="0.25">
      <c r="A3" s="10">
        <v>2</v>
      </c>
      <c r="B3" s="11" t="s">
        <v>41</v>
      </c>
      <c r="C3" s="10" t="s">
        <v>35</v>
      </c>
      <c r="D3" s="12">
        <v>2021</v>
      </c>
      <c r="E3" s="10" t="s">
        <v>36</v>
      </c>
      <c r="F3" s="12" t="s">
        <v>42</v>
      </c>
      <c r="G3" s="10" t="s">
        <v>38</v>
      </c>
      <c r="H3" s="10" t="s">
        <v>39</v>
      </c>
      <c r="I3" s="10" t="s">
        <v>43</v>
      </c>
      <c r="J3" s="13" t="s">
        <v>20</v>
      </c>
      <c r="K3" s="13"/>
    </row>
    <row r="4" spans="1:11" ht="25.5" x14ac:dyDescent="0.25">
      <c r="A4" s="10">
        <v>3</v>
      </c>
      <c r="B4" s="11" t="s">
        <v>41</v>
      </c>
      <c r="C4" s="10" t="s">
        <v>35</v>
      </c>
      <c r="D4" s="12">
        <v>2024</v>
      </c>
      <c r="E4" s="10" t="s">
        <v>36</v>
      </c>
      <c r="F4" s="12" t="s">
        <v>42</v>
      </c>
      <c r="G4" s="10" t="s">
        <v>38</v>
      </c>
      <c r="H4" s="10" t="s">
        <v>39</v>
      </c>
      <c r="I4" s="10" t="s">
        <v>44</v>
      </c>
      <c r="J4" s="13" t="s">
        <v>20</v>
      </c>
      <c r="K4" s="13"/>
    </row>
    <row r="5" spans="1:11" ht="25.5" x14ac:dyDescent="0.25">
      <c r="A5" s="10">
        <v>4</v>
      </c>
      <c r="B5" s="11" t="s">
        <v>41</v>
      </c>
      <c r="C5" s="10" t="s">
        <v>35</v>
      </c>
      <c r="D5" s="12">
        <v>2025</v>
      </c>
      <c r="E5" s="10" t="s">
        <v>36</v>
      </c>
      <c r="F5" s="12" t="s">
        <v>42</v>
      </c>
      <c r="G5" s="10" t="s">
        <v>38</v>
      </c>
      <c r="H5" s="10" t="s">
        <v>39</v>
      </c>
      <c r="I5" s="10" t="s">
        <v>45</v>
      </c>
      <c r="J5" s="13" t="s">
        <v>20</v>
      </c>
      <c r="K5" s="13"/>
    </row>
    <row r="6" spans="1:11" ht="25.5" x14ac:dyDescent="0.25">
      <c r="A6" s="10">
        <v>5</v>
      </c>
      <c r="B6" s="11" t="s">
        <v>46</v>
      </c>
      <c r="C6" s="10" t="s">
        <v>35</v>
      </c>
      <c r="D6" s="12">
        <v>2021</v>
      </c>
      <c r="E6" s="10" t="s">
        <v>36</v>
      </c>
      <c r="F6" s="12" t="s">
        <v>37</v>
      </c>
      <c r="G6" s="10" t="s">
        <v>38</v>
      </c>
      <c r="H6" s="10" t="s">
        <v>39</v>
      </c>
      <c r="I6" s="10" t="s">
        <v>47</v>
      </c>
      <c r="J6" s="13" t="s">
        <v>20</v>
      </c>
      <c r="K6" s="13"/>
    </row>
    <row r="7" spans="1:11" ht="25.5" x14ac:dyDescent="0.25">
      <c r="A7" s="10">
        <v>6</v>
      </c>
      <c r="B7" s="11" t="s">
        <v>46</v>
      </c>
      <c r="C7" s="10" t="s">
        <v>35</v>
      </c>
      <c r="D7" s="12">
        <v>2023</v>
      </c>
      <c r="E7" s="10" t="s">
        <v>36</v>
      </c>
      <c r="F7" s="12" t="s">
        <v>37</v>
      </c>
      <c r="G7" s="10" t="s">
        <v>38</v>
      </c>
      <c r="H7" s="10" t="s">
        <v>39</v>
      </c>
      <c r="I7" s="10" t="s">
        <v>48</v>
      </c>
      <c r="J7" s="13" t="s">
        <v>20</v>
      </c>
      <c r="K7" s="13"/>
    </row>
    <row r="8" spans="1:11" ht="25.5" x14ac:dyDescent="0.25">
      <c r="A8" s="10">
        <v>7</v>
      </c>
      <c r="B8" s="11" t="s">
        <v>49</v>
      </c>
      <c r="C8" s="10" t="s">
        <v>35</v>
      </c>
      <c r="D8" s="12">
        <v>2021</v>
      </c>
      <c r="E8" s="10" t="s">
        <v>36</v>
      </c>
      <c r="F8" s="12" t="s">
        <v>50</v>
      </c>
      <c r="G8" s="10" t="s">
        <v>38</v>
      </c>
      <c r="H8" s="10" t="s">
        <v>39</v>
      </c>
      <c r="I8" s="10" t="s">
        <v>51</v>
      </c>
      <c r="J8" s="13" t="s">
        <v>20</v>
      </c>
      <c r="K8" s="13"/>
    </row>
    <row r="9" spans="1:11" ht="25.5" x14ac:dyDescent="0.25">
      <c r="A9" s="10">
        <v>8</v>
      </c>
      <c r="B9" s="11" t="s">
        <v>52</v>
      </c>
      <c r="C9" s="10" t="s">
        <v>53</v>
      </c>
      <c r="D9" s="12">
        <v>2022</v>
      </c>
      <c r="E9" s="10" t="s">
        <v>36</v>
      </c>
      <c r="F9" s="12" t="s">
        <v>37</v>
      </c>
      <c r="G9" s="10" t="s">
        <v>38</v>
      </c>
      <c r="H9" s="10" t="s">
        <v>39</v>
      </c>
      <c r="I9" s="10" t="s">
        <v>54</v>
      </c>
      <c r="J9" s="13" t="s">
        <v>20</v>
      </c>
      <c r="K9" s="13"/>
    </row>
    <row r="10" spans="1:11" ht="25.5" x14ac:dyDescent="0.25">
      <c r="A10" s="10">
        <v>9</v>
      </c>
      <c r="B10" s="11" t="s">
        <v>52</v>
      </c>
      <c r="C10" s="10" t="s">
        <v>53</v>
      </c>
      <c r="D10" s="12">
        <v>2023</v>
      </c>
      <c r="E10" s="10" t="s">
        <v>36</v>
      </c>
      <c r="F10" s="12" t="s">
        <v>37</v>
      </c>
      <c r="G10" s="10" t="s">
        <v>38</v>
      </c>
      <c r="H10" s="10" t="s">
        <v>39</v>
      </c>
      <c r="I10" s="10" t="s">
        <v>55</v>
      </c>
      <c r="J10" s="13" t="s">
        <v>20</v>
      </c>
      <c r="K10" s="13"/>
    </row>
    <row r="11" spans="1:11" ht="25.5" x14ac:dyDescent="0.25">
      <c r="A11" s="10">
        <v>10</v>
      </c>
      <c r="B11" s="11" t="s">
        <v>56</v>
      </c>
      <c r="C11" s="10" t="s">
        <v>53</v>
      </c>
      <c r="D11" s="12">
        <v>2022</v>
      </c>
      <c r="E11" s="10" t="s">
        <v>36</v>
      </c>
      <c r="F11" s="12" t="s">
        <v>57</v>
      </c>
      <c r="G11" s="10" t="s">
        <v>38</v>
      </c>
      <c r="H11" s="10" t="s">
        <v>39</v>
      </c>
      <c r="I11" s="10" t="s">
        <v>58</v>
      </c>
      <c r="J11" s="13" t="s">
        <v>20</v>
      </c>
      <c r="K11" s="13"/>
    </row>
    <row r="12" spans="1:11" ht="25.5" x14ac:dyDescent="0.25">
      <c r="A12" s="10">
        <v>11</v>
      </c>
      <c r="B12" s="11" t="s">
        <v>59</v>
      </c>
      <c r="C12" s="10" t="s">
        <v>53</v>
      </c>
      <c r="D12" s="12">
        <v>2021</v>
      </c>
      <c r="E12" s="10" t="s">
        <v>36</v>
      </c>
      <c r="F12" s="12" t="s">
        <v>50</v>
      </c>
      <c r="G12" s="10" t="s">
        <v>38</v>
      </c>
      <c r="H12" s="10" t="s">
        <v>39</v>
      </c>
      <c r="I12" s="10" t="s">
        <v>60</v>
      </c>
      <c r="J12" s="13" t="s">
        <v>20</v>
      </c>
      <c r="K12" s="13"/>
    </row>
    <row r="13" spans="1:11" ht="25.5" x14ac:dyDescent="0.25">
      <c r="A13" s="10">
        <v>12</v>
      </c>
      <c r="B13" s="11" t="s">
        <v>61</v>
      </c>
      <c r="C13" s="10" t="s">
        <v>53</v>
      </c>
      <c r="D13" s="12">
        <v>2022</v>
      </c>
      <c r="E13" s="10" t="s">
        <v>36</v>
      </c>
      <c r="F13" s="12" t="s">
        <v>62</v>
      </c>
      <c r="G13" s="10" t="s">
        <v>38</v>
      </c>
      <c r="H13" s="10" t="s">
        <v>39</v>
      </c>
      <c r="I13" s="10" t="s">
        <v>63</v>
      </c>
      <c r="J13" s="13" t="s">
        <v>20</v>
      </c>
      <c r="K13" s="13"/>
    </row>
    <row r="14" spans="1:11" ht="25.5" x14ac:dyDescent="0.25">
      <c r="A14" s="10">
        <v>13</v>
      </c>
      <c r="B14" s="11" t="s">
        <v>64</v>
      </c>
      <c r="C14" s="10" t="s">
        <v>65</v>
      </c>
      <c r="D14" s="12">
        <v>2021</v>
      </c>
      <c r="E14" s="10" t="s">
        <v>36</v>
      </c>
      <c r="F14" s="12" t="s">
        <v>50</v>
      </c>
      <c r="G14" s="10" t="s">
        <v>38</v>
      </c>
      <c r="H14" s="10" t="s">
        <v>39</v>
      </c>
      <c r="I14" s="10" t="s">
        <v>66</v>
      </c>
      <c r="J14" s="13" t="s">
        <v>20</v>
      </c>
      <c r="K14" s="13"/>
    </row>
    <row r="15" spans="1:11" ht="25.5" x14ac:dyDescent="0.25">
      <c r="A15" s="10">
        <v>14</v>
      </c>
      <c r="B15" s="11" t="s">
        <v>67</v>
      </c>
      <c r="C15" s="10" t="s">
        <v>65</v>
      </c>
      <c r="D15" s="12">
        <v>2021</v>
      </c>
      <c r="E15" s="10" t="s">
        <v>36</v>
      </c>
      <c r="F15" s="12" t="s">
        <v>68</v>
      </c>
      <c r="G15" s="10" t="s">
        <v>38</v>
      </c>
      <c r="H15" s="10" t="s">
        <v>39</v>
      </c>
      <c r="I15" s="10" t="s">
        <v>69</v>
      </c>
      <c r="J15" s="13" t="s">
        <v>20</v>
      </c>
      <c r="K15" s="13"/>
    </row>
    <row r="16" spans="1:11" ht="25.5" x14ac:dyDescent="0.25">
      <c r="A16" s="10">
        <v>15</v>
      </c>
      <c r="B16" s="11" t="s">
        <v>67</v>
      </c>
      <c r="C16" s="10" t="s">
        <v>65</v>
      </c>
      <c r="D16" s="12">
        <v>2022</v>
      </c>
      <c r="E16" s="10" t="s">
        <v>36</v>
      </c>
      <c r="F16" s="12" t="s">
        <v>68</v>
      </c>
      <c r="G16" s="10" t="s">
        <v>38</v>
      </c>
      <c r="H16" s="10" t="s">
        <v>39</v>
      </c>
      <c r="I16" s="10" t="s">
        <v>70</v>
      </c>
      <c r="J16" s="13" t="s">
        <v>20</v>
      </c>
      <c r="K16" s="13"/>
    </row>
    <row r="17" spans="1:11" ht="25.5" x14ac:dyDescent="0.25">
      <c r="A17" s="10">
        <v>16</v>
      </c>
      <c r="B17" s="11" t="s">
        <v>67</v>
      </c>
      <c r="C17" s="10" t="s">
        <v>65</v>
      </c>
      <c r="D17" s="12">
        <v>2025</v>
      </c>
      <c r="E17" s="10" t="s">
        <v>36</v>
      </c>
      <c r="F17" s="12" t="s">
        <v>68</v>
      </c>
      <c r="G17" s="10" t="s">
        <v>38</v>
      </c>
      <c r="H17" s="10" t="s">
        <v>39</v>
      </c>
      <c r="I17" s="10" t="s">
        <v>71</v>
      </c>
      <c r="J17" s="13" t="s">
        <v>20</v>
      </c>
      <c r="K17" s="13"/>
    </row>
    <row r="18" spans="1:11" ht="25.5" x14ac:dyDescent="0.25">
      <c r="A18" s="10">
        <v>17</v>
      </c>
      <c r="B18" s="11" t="s">
        <v>72</v>
      </c>
      <c r="C18" s="10" t="s">
        <v>73</v>
      </c>
      <c r="D18" s="12">
        <v>2021</v>
      </c>
      <c r="E18" s="10" t="s">
        <v>36</v>
      </c>
      <c r="F18" s="12" t="s">
        <v>74</v>
      </c>
      <c r="G18" s="10" t="s">
        <v>38</v>
      </c>
      <c r="H18" s="10" t="s">
        <v>39</v>
      </c>
      <c r="I18" s="10" t="s">
        <v>75</v>
      </c>
      <c r="J18" s="13" t="s">
        <v>20</v>
      </c>
      <c r="K18" s="13"/>
    </row>
    <row r="19" spans="1:11" ht="25.5" x14ac:dyDescent="0.25">
      <c r="A19" s="10">
        <v>18</v>
      </c>
      <c r="B19" s="11" t="s">
        <v>72</v>
      </c>
      <c r="C19" s="10" t="s">
        <v>73</v>
      </c>
      <c r="D19" s="12">
        <v>2024</v>
      </c>
      <c r="E19" s="10" t="s">
        <v>36</v>
      </c>
      <c r="F19" s="12" t="s">
        <v>74</v>
      </c>
      <c r="G19" s="10" t="s">
        <v>38</v>
      </c>
      <c r="H19" s="10" t="s">
        <v>39</v>
      </c>
      <c r="I19" s="10" t="s">
        <v>76</v>
      </c>
      <c r="J19" s="13" t="s">
        <v>20</v>
      </c>
      <c r="K19" s="13"/>
    </row>
    <row r="20" spans="1:11" ht="25.5" x14ac:dyDescent="0.25">
      <c r="A20" s="10">
        <v>19</v>
      </c>
      <c r="B20" s="11" t="s">
        <v>77</v>
      </c>
      <c r="C20" s="10" t="s">
        <v>73</v>
      </c>
      <c r="D20" s="12">
        <v>2025</v>
      </c>
      <c r="E20" s="10" t="s">
        <v>36</v>
      </c>
      <c r="F20" s="12" t="s">
        <v>57</v>
      </c>
      <c r="G20" s="10" t="s">
        <v>38</v>
      </c>
      <c r="H20" s="10" t="s">
        <v>39</v>
      </c>
      <c r="I20" s="10" t="s">
        <v>78</v>
      </c>
      <c r="J20" s="13" t="s">
        <v>20</v>
      </c>
      <c r="K20" s="13"/>
    </row>
    <row r="21" spans="1:11" ht="25.5" x14ac:dyDescent="0.25">
      <c r="A21" s="10">
        <v>20</v>
      </c>
      <c r="B21" s="11" t="s">
        <v>79</v>
      </c>
      <c r="C21" s="10" t="s">
        <v>73</v>
      </c>
      <c r="D21" s="12">
        <v>2021</v>
      </c>
      <c r="E21" s="10" t="s">
        <v>36</v>
      </c>
      <c r="F21" s="12" t="s">
        <v>42</v>
      </c>
      <c r="G21" s="10" t="s">
        <v>38</v>
      </c>
      <c r="H21" s="10" t="s">
        <v>39</v>
      </c>
      <c r="I21" s="10" t="s">
        <v>80</v>
      </c>
      <c r="J21" s="13" t="s">
        <v>20</v>
      </c>
      <c r="K21" s="13"/>
    </row>
    <row r="22" spans="1:11" ht="25.5" x14ac:dyDescent="0.25">
      <c r="A22" s="10">
        <v>21</v>
      </c>
      <c r="B22" s="11" t="s">
        <v>79</v>
      </c>
      <c r="C22" s="10" t="s">
        <v>73</v>
      </c>
      <c r="D22" s="12">
        <v>2023</v>
      </c>
      <c r="E22" s="10" t="s">
        <v>36</v>
      </c>
      <c r="F22" s="12" t="s">
        <v>42</v>
      </c>
      <c r="G22" s="10" t="s">
        <v>38</v>
      </c>
      <c r="H22" s="10" t="s">
        <v>39</v>
      </c>
      <c r="I22" s="10" t="s">
        <v>81</v>
      </c>
      <c r="J22" s="13" t="s">
        <v>20</v>
      </c>
      <c r="K22" s="13"/>
    </row>
    <row r="23" spans="1:11" ht="25.5" x14ac:dyDescent="0.25">
      <c r="A23" s="10">
        <v>22</v>
      </c>
      <c r="B23" s="11" t="s">
        <v>79</v>
      </c>
      <c r="C23" s="10" t="s">
        <v>73</v>
      </c>
      <c r="D23" s="12">
        <v>2024</v>
      </c>
      <c r="E23" s="10" t="s">
        <v>36</v>
      </c>
      <c r="F23" s="12" t="s">
        <v>42</v>
      </c>
      <c r="G23" s="10" t="s">
        <v>38</v>
      </c>
      <c r="H23" s="10" t="s">
        <v>39</v>
      </c>
      <c r="I23" s="10" t="s">
        <v>82</v>
      </c>
      <c r="J23" s="13" t="s">
        <v>20</v>
      </c>
      <c r="K23" s="13"/>
    </row>
    <row r="24" spans="1:11" ht="38.25" x14ac:dyDescent="0.25">
      <c r="A24" s="10">
        <v>23</v>
      </c>
      <c r="B24" s="11" t="s">
        <v>83</v>
      </c>
      <c r="C24" s="10" t="s">
        <v>53</v>
      </c>
      <c r="D24" s="12">
        <v>2020</v>
      </c>
      <c r="E24" s="10" t="s">
        <v>84</v>
      </c>
      <c r="F24" s="12" t="s">
        <v>85</v>
      </c>
      <c r="G24" s="10" t="s">
        <v>86</v>
      </c>
      <c r="H24" s="10" t="s">
        <v>39</v>
      </c>
      <c r="I24" s="10" t="s">
        <v>87</v>
      </c>
      <c r="J24" s="13" t="s">
        <v>20</v>
      </c>
      <c r="K24" s="13"/>
    </row>
    <row r="25" spans="1:11" ht="38.25" x14ac:dyDescent="0.25">
      <c r="A25" s="10">
        <v>24</v>
      </c>
      <c r="B25" s="11" t="s">
        <v>83</v>
      </c>
      <c r="C25" s="10" t="s">
        <v>53</v>
      </c>
      <c r="D25" s="12">
        <v>2021</v>
      </c>
      <c r="E25" s="10" t="s">
        <v>84</v>
      </c>
      <c r="F25" s="12" t="s">
        <v>88</v>
      </c>
      <c r="G25" s="10" t="s">
        <v>86</v>
      </c>
      <c r="H25" s="10" t="s">
        <v>39</v>
      </c>
      <c r="I25" s="10" t="s">
        <v>89</v>
      </c>
      <c r="J25" s="13" t="s">
        <v>20</v>
      </c>
      <c r="K25" s="13"/>
    </row>
    <row r="26" spans="1:11" ht="38.25" x14ac:dyDescent="0.25">
      <c r="A26" s="10">
        <v>25</v>
      </c>
      <c r="B26" s="11" t="s">
        <v>90</v>
      </c>
      <c r="C26" s="10" t="s">
        <v>91</v>
      </c>
      <c r="D26" s="12">
        <v>2020</v>
      </c>
      <c r="E26" s="10" t="s">
        <v>84</v>
      </c>
      <c r="F26" s="12" t="s">
        <v>92</v>
      </c>
      <c r="G26" s="10" t="s">
        <v>86</v>
      </c>
      <c r="H26" s="10" t="s">
        <v>39</v>
      </c>
      <c r="I26" s="10" t="s">
        <v>93</v>
      </c>
      <c r="J26" s="13" t="s">
        <v>20</v>
      </c>
      <c r="K26" s="13"/>
    </row>
    <row r="27" spans="1:11" ht="38.25" x14ac:dyDescent="0.25">
      <c r="A27" s="10">
        <v>26</v>
      </c>
      <c r="B27" s="11" t="s">
        <v>90</v>
      </c>
      <c r="C27" s="10" t="s">
        <v>91</v>
      </c>
      <c r="D27" s="12">
        <v>2021</v>
      </c>
      <c r="E27" s="10" t="s">
        <v>84</v>
      </c>
      <c r="F27" s="12" t="s">
        <v>94</v>
      </c>
      <c r="G27" s="10" t="s">
        <v>86</v>
      </c>
      <c r="H27" s="10" t="s">
        <v>39</v>
      </c>
      <c r="I27" s="10" t="s">
        <v>95</v>
      </c>
      <c r="J27" s="13" t="s">
        <v>20</v>
      </c>
      <c r="K27" s="13"/>
    </row>
    <row r="28" spans="1:11" ht="38.25" x14ac:dyDescent="0.25">
      <c r="A28" s="10">
        <v>27</v>
      </c>
      <c r="B28" s="11" t="s">
        <v>96</v>
      </c>
      <c r="C28" s="10" t="s">
        <v>35</v>
      </c>
      <c r="D28" s="12">
        <v>2024</v>
      </c>
      <c r="E28" s="10" t="s">
        <v>97</v>
      </c>
      <c r="F28" s="12" t="s">
        <v>98</v>
      </c>
      <c r="G28" s="10" t="s">
        <v>99</v>
      </c>
      <c r="H28" s="10" t="s">
        <v>100</v>
      </c>
      <c r="I28" s="10" t="s">
        <v>101</v>
      </c>
      <c r="J28" s="13" t="s">
        <v>21</v>
      </c>
      <c r="K28" s="13"/>
    </row>
    <row r="29" spans="1:11" ht="38.25" x14ac:dyDescent="0.25">
      <c r="A29" s="10">
        <v>28</v>
      </c>
      <c r="B29" s="11" t="s">
        <v>34</v>
      </c>
      <c r="C29" s="10" t="s">
        <v>35</v>
      </c>
      <c r="D29" s="12">
        <v>2023</v>
      </c>
      <c r="E29" s="10" t="s">
        <v>97</v>
      </c>
      <c r="F29" s="12" t="s">
        <v>102</v>
      </c>
      <c r="G29" s="10" t="s">
        <v>99</v>
      </c>
      <c r="H29" s="10" t="s">
        <v>103</v>
      </c>
      <c r="I29" s="10" t="s">
        <v>104</v>
      </c>
      <c r="J29" s="13" t="s">
        <v>20</v>
      </c>
      <c r="K29" s="13"/>
    </row>
    <row r="30" spans="1:11" ht="38.25" x14ac:dyDescent="0.25">
      <c r="A30" s="10">
        <v>29</v>
      </c>
      <c r="B30" s="11" t="s">
        <v>34</v>
      </c>
      <c r="C30" s="10" t="s">
        <v>35</v>
      </c>
      <c r="D30" s="12">
        <v>2024</v>
      </c>
      <c r="E30" s="10" t="s">
        <v>97</v>
      </c>
      <c r="F30" s="12" t="s">
        <v>105</v>
      </c>
      <c r="G30" s="10" t="s">
        <v>99</v>
      </c>
      <c r="H30" s="10" t="s">
        <v>106</v>
      </c>
      <c r="I30" s="10" t="s">
        <v>107</v>
      </c>
      <c r="J30" s="13" t="s">
        <v>21</v>
      </c>
      <c r="K30" s="13"/>
    </row>
    <row r="31" spans="1:11" ht="38.25" x14ac:dyDescent="0.25">
      <c r="A31" s="10">
        <v>30</v>
      </c>
      <c r="B31" s="11" t="s">
        <v>41</v>
      </c>
      <c r="C31" s="10" t="s">
        <v>35</v>
      </c>
      <c r="D31" s="12">
        <v>2023</v>
      </c>
      <c r="E31" s="10" t="s">
        <v>97</v>
      </c>
      <c r="F31" s="12" t="s">
        <v>108</v>
      </c>
      <c r="G31" s="10" t="s">
        <v>99</v>
      </c>
      <c r="H31" s="10" t="s">
        <v>109</v>
      </c>
      <c r="I31" s="10" t="s">
        <v>110</v>
      </c>
      <c r="J31" s="13" t="s">
        <v>20</v>
      </c>
      <c r="K31" s="13"/>
    </row>
    <row r="32" spans="1:11" ht="38.25" x14ac:dyDescent="0.25">
      <c r="A32" s="10">
        <v>31</v>
      </c>
      <c r="B32" s="11" t="s">
        <v>56</v>
      </c>
      <c r="C32" s="10" t="s">
        <v>53</v>
      </c>
      <c r="D32" s="12">
        <v>2023</v>
      </c>
      <c r="E32" s="10" t="s">
        <v>97</v>
      </c>
      <c r="F32" s="12" t="s">
        <v>111</v>
      </c>
      <c r="G32" s="10" t="s">
        <v>99</v>
      </c>
      <c r="H32" s="10" t="s">
        <v>112</v>
      </c>
      <c r="I32" s="10" t="s">
        <v>113</v>
      </c>
      <c r="J32" s="13" t="s">
        <v>20</v>
      </c>
      <c r="K32" s="13"/>
    </row>
    <row r="33" spans="1:11" ht="38.25" x14ac:dyDescent="0.25">
      <c r="A33" s="10">
        <v>32</v>
      </c>
      <c r="B33" s="11" t="s">
        <v>114</v>
      </c>
      <c r="C33" s="10" t="s">
        <v>53</v>
      </c>
      <c r="D33" s="12">
        <v>2024</v>
      </c>
      <c r="E33" s="10" t="s">
        <v>97</v>
      </c>
      <c r="F33" s="12" t="s">
        <v>115</v>
      </c>
      <c r="G33" s="10" t="s">
        <v>99</v>
      </c>
      <c r="H33" s="10" t="s">
        <v>116</v>
      </c>
      <c r="I33" s="10" t="s">
        <v>117</v>
      </c>
      <c r="J33" s="13" t="s">
        <v>20</v>
      </c>
      <c r="K33" s="13"/>
    </row>
    <row r="34" spans="1:11" ht="38.25" x14ac:dyDescent="0.25">
      <c r="A34" s="10">
        <v>33</v>
      </c>
      <c r="B34" s="11" t="s">
        <v>59</v>
      </c>
      <c r="C34" s="10" t="s">
        <v>53</v>
      </c>
      <c r="D34" s="12">
        <v>2024</v>
      </c>
      <c r="E34" s="10" t="s">
        <v>97</v>
      </c>
      <c r="F34" s="12" t="s">
        <v>118</v>
      </c>
      <c r="G34" s="10" t="s">
        <v>99</v>
      </c>
      <c r="H34" s="10" t="s">
        <v>119</v>
      </c>
      <c r="I34" s="10" t="s">
        <v>120</v>
      </c>
      <c r="J34" s="13" t="s">
        <v>20</v>
      </c>
      <c r="K34" s="13"/>
    </row>
    <row r="35" spans="1:11" ht="38.25" x14ac:dyDescent="0.25">
      <c r="A35" s="10">
        <v>34</v>
      </c>
      <c r="B35" s="11" t="s">
        <v>121</v>
      </c>
      <c r="C35" s="10" t="s">
        <v>91</v>
      </c>
      <c r="D35" s="12">
        <v>2021</v>
      </c>
      <c r="E35" s="10" t="s">
        <v>97</v>
      </c>
      <c r="F35" s="12" t="s">
        <v>122</v>
      </c>
      <c r="G35" s="10" t="s">
        <v>99</v>
      </c>
      <c r="H35" s="10" t="s">
        <v>123</v>
      </c>
      <c r="I35" s="10" t="s">
        <v>124</v>
      </c>
      <c r="J35" s="13" t="s">
        <v>20</v>
      </c>
      <c r="K35" s="13"/>
    </row>
    <row r="36" spans="1:11" ht="38.25" x14ac:dyDescent="0.25">
      <c r="A36" s="10">
        <v>35</v>
      </c>
      <c r="B36" s="11" t="s">
        <v>64</v>
      </c>
      <c r="C36" s="10" t="s">
        <v>65</v>
      </c>
      <c r="D36" s="12">
        <v>2023</v>
      </c>
      <c r="E36" s="10" t="s">
        <v>97</v>
      </c>
      <c r="F36" s="12" t="s">
        <v>125</v>
      </c>
      <c r="G36" s="10" t="s">
        <v>99</v>
      </c>
      <c r="H36" s="10" t="s">
        <v>126</v>
      </c>
      <c r="I36" s="10" t="s">
        <v>127</v>
      </c>
      <c r="J36" s="13" t="s">
        <v>21</v>
      </c>
      <c r="K36" s="13"/>
    </row>
    <row r="37" spans="1:11" ht="38.25" x14ac:dyDescent="0.25">
      <c r="A37" s="10">
        <v>36</v>
      </c>
      <c r="B37" s="11" t="s">
        <v>128</v>
      </c>
      <c r="C37" s="10" t="s">
        <v>65</v>
      </c>
      <c r="D37" s="12">
        <v>2021</v>
      </c>
      <c r="E37" s="10" t="s">
        <v>97</v>
      </c>
      <c r="F37" s="12" t="s">
        <v>129</v>
      </c>
      <c r="G37" s="10" t="s">
        <v>99</v>
      </c>
      <c r="H37" s="10" t="s">
        <v>130</v>
      </c>
      <c r="I37" s="10" t="s">
        <v>131</v>
      </c>
      <c r="J37" s="13" t="s">
        <v>21</v>
      </c>
      <c r="K37" s="13"/>
    </row>
    <row r="38" spans="1:11" ht="38.25" x14ac:dyDescent="0.25">
      <c r="A38" s="10">
        <v>37</v>
      </c>
      <c r="B38" s="11" t="s">
        <v>67</v>
      </c>
      <c r="C38" s="10" t="s">
        <v>65</v>
      </c>
      <c r="D38" s="12">
        <v>2023</v>
      </c>
      <c r="E38" s="10" t="s">
        <v>97</v>
      </c>
      <c r="F38" s="12" t="s">
        <v>132</v>
      </c>
      <c r="G38" s="10" t="s">
        <v>99</v>
      </c>
      <c r="H38" s="10" t="s">
        <v>133</v>
      </c>
      <c r="I38" s="10" t="s">
        <v>134</v>
      </c>
      <c r="J38" s="13" t="s">
        <v>20</v>
      </c>
      <c r="K38" s="13"/>
    </row>
    <row r="39" spans="1:11" ht="38.25" x14ac:dyDescent="0.25">
      <c r="A39" s="10">
        <v>38</v>
      </c>
      <c r="B39" s="11" t="s">
        <v>67</v>
      </c>
      <c r="C39" s="10" t="s">
        <v>65</v>
      </c>
      <c r="D39" s="12">
        <v>2024</v>
      </c>
      <c r="E39" s="10" t="s">
        <v>97</v>
      </c>
      <c r="F39" s="12" t="s">
        <v>135</v>
      </c>
      <c r="G39" s="10" t="s">
        <v>99</v>
      </c>
      <c r="H39" s="10" t="s">
        <v>136</v>
      </c>
      <c r="I39" s="10" t="s">
        <v>137</v>
      </c>
      <c r="J39" s="13" t="s">
        <v>20</v>
      </c>
      <c r="K39" s="13"/>
    </row>
    <row r="40" spans="1:11" ht="38.25" x14ac:dyDescent="0.25">
      <c r="A40" s="10">
        <v>39</v>
      </c>
      <c r="B40" s="11" t="s">
        <v>72</v>
      </c>
      <c r="C40" s="10" t="s">
        <v>73</v>
      </c>
      <c r="D40" s="12">
        <v>2022</v>
      </c>
      <c r="E40" s="10" t="s">
        <v>97</v>
      </c>
      <c r="F40" s="12" t="s">
        <v>138</v>
      </c>
      <c r="G40" s="10" t="s">
        <v>99</v>
      </c>
      <c r="H40" s="10" t="s">
        <v>139</v>
      </c>
      <c r="I40" s="10" t="s">
        <v>140</v>
      </c>
      <c r="J40" s="13" t="s">
        <v>20</v>
      </c>
      <c r="K40" s="13"/>
    </row>
    <row r="41" spans="1:11" ht="38.25" x14ac:dyDescent="0.25">
      <c r="A41" s="10">
        <v>40</v>
      </c>
      <c r="B41" s="11" t="s">
        <v>79</v>
      </c>
      <c r="C41" s="10" t="s">
        <v>73</v>
      </c>
      <c r="D41" s="12">
        <v>2022</v>
      </c>
      <c r="E41" s="10" t="s">
        <v>97</v>
      </c>
      <c r="F41" s="12" t="s">
        <v>141</v>
      </c>
      <c r="G41" s="10" t="s">
        <v>99</v>
      </c>
      <c r="H41" s="10" t="s">
        <v>142</v>
      </c>
      <c r="I41" s="10" t="s">
        <v>143</v>
      </c>
      <c r="J41" s="13" t="s">
        <v>20</v>
      </c>
      <c r="K41" s="13"/>
    </row>
    <row r="42" spans="1:11" ht="38.25" x14ac:dyDescent="0.25">
      <c r="A42" s="10">
        <v>41</v>
      </c>
      <c r="B42" s="11" t="s">
        <v>144</v>
      </c>
      <c r="C42" s="10" t="s">
        <v>145</v>
      </c>
      <c r="D42" s="12">
        <v>2020</v>
      </c>
      <c r="E42" s="10" t="s">
        <v>97</v>
      </c>
      <c r="F42" s="12" t="s">
        <v>146</v>
      </c>
      <c r="G42" s="10" t="s">
        <v>99</v>
      </c>
      <c r="H42" s="10" t="s">
        <v>147</v>
      </c>
      <c r="I42" s="10" t="s">
        <v>148</v>
      </c>
      <c r="J42" s="13" t="s">
        <v>21</v>
      </c>
      <c r="K42" s="13"/>
    </row>
    <row r="43" spans="1:11" ht="38.25" x14ac:dyDescent="0.25">
      <c r="A43" s="10">
        <v>42</v>
      </c>
      <c r="B43" s="11" t="s">
        <v>144</v>
      </c>
      <c r="C43" s="10" t="s">
        <v>145</v>
      </c>
      <c r="D43" s="12">
        <v>2022</v>
      </c>
      <c r="E43" s="10" t="s">
        <v>97</v>
      </c>
      <c r="F43" s="12" t="s">
        <v>149</v>
      </c>
      <c r="G43" s="10" t="s">
        <v>99</v>
      </c>
      <c r="H43" s="10" t="s">
        <v>150</v>
      </c>
      <c r="I43" s="10" t="s">
        <v>151</v>
      </c>
      <c r="J43" s="13" t="s">
        <v>21</v>
      </c>
      <c r="K43" s="13"/>
    </row>
    <row r="44" spans="1:11" ht="25.5" x14ac:dyDescent="0.25">
      <c r="A44" s="10">
        <v>43</v>
      </c>
      <c r="B44" s="11" t="s">
        <v>152</v>
      </c>
      <c r="C44" s="10" t="s">
        <v>35</v>
      </c>
      <c r="D44" s="12">
        <v>2021</v>
      </c>
      <c r="E44" s="10" t="s">
        <v>153</v>
      </c>
      <c r="F44" s="12" t="s">
        <v>154</v>
      </c>
      <c r="G44" s="10" t="s">
        <v>155</v>
      </c>
      <c r="H44" s="10" t="s">
        <v>156</v>
      </c>
      <c r="I44" s="10" t="s">
        <v>157</v>
      </c>
      <c r="J44" s="13" t="s">
        <v>21</v>
      </c>
      <c r="K44" s="13"/>
    </row>
    <row r="45" spans="1:11" ht="25.5" x14ac:dyDescent="0.25">
      <c r="A45" s="10">
        <v>44</v>
      </c>
      <c r="B45" s="11" t="s">
        <v>61</v>
      </c>
      <c r="C45" s="10" t="s">
        <v>53</v>
      </c>
      <c r="D45" s="12">
        <v>2020</v>
      </c>
      <c r="E45" s="10" t="s">
        <v>153</v>
      </c>
      <c r="F45" s="12" t="s">
        <v>118</v>
      </c>
      <c r="G45" s="10" t="s">
        <v>155</v>
      </c>
      <c r="H45" s="10" t="s">
        <v>158</v>
      </c>
      <c r="I45" s="10" t="s">
        <v>159</v>
      </c>
      <c r="J45" s="13" t="s">
        <v>21</v>
      </c>
      <c r="K45" s="13"/>
    </row>
  </sheetData>
  <autoFilter ref="A1:K45" xr:uid="{00000000-0009-0000-0000-000001000000}"/>
  <conditionalFormatting sqref="E2:E45">
    <cfRule type="cellIs" dxfId="6" priority="2" operator="equal">
      <formula>"Truncated"</formula>
    </cfRule>
    <cfRule type="cellIs" dxfId="5" priority="3" operator="equal">
      <formula>"Short"</formula>
    </cfRule>
    <cfRule type="cellIs" dxfId="4" priority="4" operator="equal">
      <formula>"Wrong document type"</formula>
    </cfRule>
    <cfRule type="cellIs" dxfId="3" priority="5" operator="equal">
      <formula>"Check"</formula>
    </cfRule>
  </conditionalFormatting>
  <conditionalFormatting sqref="J2:J45">
    <cfRule type="cellIs" dxfId="2" priority="6" operator="equal">
      <formula>"Full report added to folder"</formula>
    </cfRule>
    <cfRule type="cellIs" dxfId="1" priority="7" operator="equal">
      <formula>"Existing file is the annual report"</formula>
    </cfRule>
    <cfRule type="cellIs" dxfId="0" priority="8" operator="equal">
      <formula>"Not available"</formula>
    </cfRule>
  </conditionalFormatting>
  <dataValidations count="1">
    <dataValidation type="list" allowBlank="1" sqref="J2:J45" xr:uid="{00000000-0002-0000-0100-000000000000}">
      <formula1>"Full report added to folder,Existing file is the annual report,Not available"</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To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ana.muhandis@protonmail.com</cp:lastModifiedBy>
  <cp:revision>0</cp:revision>
  <dcterms:created xsi:type="dcterms:W3CDTF">2026-10-08T15:44:02Z</dcterms:created>
  <dcterms:modified xsi:type="dcterms:W3CDTF">2026-10-09T10:28:41Z</dcterms:modified>
  <dc:language>en-US</dc:language>
</cp:coreProperties>
</file>