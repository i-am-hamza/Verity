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hamza\Downloads\"/>
    </mc:Choice>
  </mc:AlternateContent>
  <xr:revisionPtr revIDLastSave="0" documentId="13_ncr:1_{567D3D38-22FC-4CDC-AE27-B3585645ED5E}" xr6:coauthVersionLast="47" xr6:coauthVersionMax="47" xr10:uidLastSave="{00000000-0000-0000-0000-000000000000}"/>
  <bookViews>
    <workbookView xWindow="-120" yWindow="-120" windowWidth="29040" windowHeight="16440" tabRatio="500" xr2:uid="{00000000-000D-0000-FFFF-FFFF00000000}"/>
  </bookViews>
  <sheets>
    <sheet name="Read me" sheetId="1" r:id="rId1"/>
    <sheet name="Company industries" sheetId="2" r:id="rId2"/>
    <sheet name="Term mapping" sheetId="3" r:id="rId3"/>
    <sheet name="Industry materiality" sheetId="4" r:id="rId4"/>
    <sheet name="SASB categories" sheetId="5" r:id="rId5"/>
    <sheet name="SASB industries" sheetId="6" r:id="rId6"/>
  </sheets>
  <definedNames>
    <definedName name="_xlnm._FilterDatabase" localSheetId="1" hidden="1">'Company industries'!$A$1:$P$66</definedName>
    <definedName name="_xlnm._FilterDatabase" localSheetId="3" hidden="1">'Industry materiality'!$A$1:$G$169</definedName>
    <definedName name="_xlnm._FilterDatabase" localSheetId="5" hidden="1">'SASB industries'!$A$1:$C$78</definedName>
    <definedName name="_xlnm._FilterDatabase" localSheetId="2" hidden="1">'Term mapping'!$A$1:$L$68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78" i="6" l="1"/>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F27" i="5"/>
  <c r="E27" i="5"/>
  <c r="D27" i="5"/>
  <c r="F26" i="5"/>
  <c r="E26" i="5"/>
  <c r="D26" i="5"/>
  <c r="F25" i="5"/>
  <c r="E25" i="5"/>
  <c r="D25" i="5"/>
  <c r="F24" i="5"/>
  <c r="E24" i="5"/>
  <c r="D24" i="5"/>
  <c r="F23" i="5"/>
  <c r="E23" i="5"/>
  <c r="D23" i="5"/>
  <c r="F22" i="5"/>
  <c r="E22" i="5"/>
  <c r="D22" i="5"/>
  <c r="F21" i="5"/>
  <c r="E21" i="5"/>
  <c r="D21" i="5"/>
  <c r="F20" i="5"/>
  <c r="E20" i="5"/>
  <c r="D20" i="5"/>
  <c r="F19" i="5"/>
  <c r="E19" i="5"/>
  <c r="D19" i="5"/>
  <c r="F18" i="5"/>
  <c r="E18" i="5"/>
  <c r="D18" i="5"/>
  <c r="F17" i="5"/>
  <c r="E17" i="5"/>
  <c r="D17" i="5"/>
  <c r="F16" i="5"/>
  <c r="E16" i="5"/>
  <c r="D16" i="5"/>
  <c r="F15" i="5"/>
  <c r="E15" i="5"/>
  <c r="D15" i="5"/>
  <c r="F14" i="5"/>
  <c r="E14" i="5"/>
  <c r="D14" i="5"/>
  <c r="F13" i="5"/>
  <c r="E13" i="5"/>
  <c r="D13" i="5"/>
  <c r="F12" i="5"/>
  <c r="E12" i="5"/>
  <c r="D12" i="5"/>
  <c r="F11" i="5"/>
  <c r="E11" i="5"/>
  <c r="D11" i="5"/>
  <c r="F10" i="5"/>
  <c r="E10" i="5"/>
  <c r="D10" i="5"/>
  <c r="F9" i="5"/>
  <c r="E9" i="5"/>
  <c r="D9" i="5"/>
  <c r="F8" i="5"/>
  <c r="E8" i="5"/>
  <c r="D8" i="5"/>
  <c r="F7" i="5"/>
  <c r="E7" i="5"/>
  <c r="D7" i="5"/>
  <c r="F6" i="5"/>
  <c r="E6" i="5"/>
  <c r="D6" i="5"/>
  <c r="F5" i="5"/>
  <c r="E5" i="5"/>
  <c r="D5" i="5"/>
  <c r="F4" i="5"/>
  <c r="E4" i="5"/>
  <c r="D4" i="5"/>
  <c r="F3" i="5"/>
  <c r="E3" i="5"/>
  <c r="D3" i="5"/>
  <c r="F2" i="5"/>
  <c r="E2" i="5"/>
  <c r="D2" i="5"/>
  <c r="E169" i="4"/>
  <c r="E168" i="4"/>
  <c r="E167" i="4"/>
  <c r="E166" i="4"/>
  <c r="E165" i="4"/>
  <c r="E164" i="4"/>
  <c r="E163" i="4"/>
  <c r="E162" i="4"/>
  <c r="E161" i="4"/>
  <c r="E160" i="4"/>
  <c r="E159" i="4"/>
  <c r="E158" i="4"/>
  <c r="E157" i="4"/>
  <c r="E156" i="4"/>
  <c r="E155" i="4"/>
  <c r="E154" i="4"/>
  <c r="E153" i="4"/>
  <c r="E152" i="4"/>
  <c r="E151" i="4"/>
  <c r="E150" i="4"/>
  <c r="E149" i="4"/>
  <c r="E148" i="4"/>
  <c r="E147" i="4"/>
  <c r="E146" i="4"/>
  <c r="E145" i="4"/>
  <c r="E144" i="4"/>
  <c r="E143" i="4"/>
  <c r="E142" i="4"/>
  <c r="E141" i="4"/>
  <c r="E140" i="4"/>
  <c r="E139" i="4"/>
  <c r="E138" i="4"/>
  <c r="E137" i="4"/>
  <c r="E136" i="4"/>
  <c r="E135" i="4"/>
  <c r="E134" i="4"/>
  <c r="E133" i="4"/>
  <c r="E132" i="4"/>
  <c r="E131" i="4"/>
  <c r="E130" i="4"/>
  <c r="E129" i="4"/>
  <c r="E128" i="4"/>
  <c r="E127" i="4"/>
  <c r="E126" i="4"/>
  <c r="E125" i="4"/>
  <c r="E124" i="4"/>
  <c r="E123" i="4"/>
  <c r="E122" i="4"/>
  <c r="E121" i="4"/>
  <c r="E120" i="4"/>
  <c r="E119" i="4"/>
  <c r="E118" i="4"/>
  <c r="E117" i="4"/>
  <c r="E116" i="4"/>
  <c r="E115" i="4"/>
  <c r="E114" i="4"/>
  <c r="E113" i="4"/>
  <c r="E112" i="4"/>
  <c r="E111" i="4"/>
  <c r="E110" i="4"/>
  <c r="E109" i="4"/>
  <c r="E108" i="4"/>
  <c r="E107" i="4"/>
  <c r="E106" i="4"/>
  <c r="E105" i="4"/>
  <c r="E104" i="4"/>
  <c r="E103" i="4"/>
  <c r="E102" i="4"/>
  <c r="E101" i="4"/>
  <c r="E100" i="4"/>
  <c r="E99" i="4"/>
  <c r="E98" i="4"/>
  <c r="E97" i="4"/>
  <c r="E96" i="4"/>
  <c r="E95" i="4"/>
  <c r="E94" i="4"/>
  <c r="E93" i="4"/>
  <c r="E92" i="4"/>
  <c r="E91" i="4"/>
  <c r="E90" i="4"/>
  <c r="E89" i="4"/>
  <c r="E88" i="4"/>
  <c r="E87" i="4"/>
  <c r="E86" i="4"/>
  <c r="E85" i="4"/>
  <c r="E84" i="4"/>
  <c r="E83" i="4"/>
  <c r="E82" i="4"/>
  <c r="E81" i="4"/>
  <c r="E80" i="4"/>
  <c r="E79" i="4"/>
  <c r="E78" i="4"/>
  <c r="E77" i="4"/>
  <c r="E76" i="4"/>
  <c r="E75" i="4"/>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E2" i="4"/>
  <c r="G68" i="3"/>
  <c r="G67" i="3"/>
  <c r="G66" i="3"/>
  <c r="G65" i="3"/>
  <c r="G64" i="3"/>
  <c r="G63" i="3"/>
  <c r="G62" i="3"/>
  <c r="G61" i="3"/>
  <c r="G60" i="3"/>
  <c r="G59" i="3"/>
  <c r="G58" i="3"/>
  <c r="G57" i="3"/>
  <c r="G56" i="3"/>
  <c r="G55" i="3"/>
  <c r="G54" i="3"/>
  <c r="G53" i="3"/>
  <c r="G52" i="3"/>
  <c r="G51"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3" i="3"/>
  <c r="G12" i="3"/>
  <c r="G11" i="3"/>
  <c r="G10" i="3"/>
  <c r="G9" i="3"/>
  <c r="G8" i="3"/>
  <c r="G7" i="3"/>
  <c r="G6" i="3"/>
  <c r="G5" i="3"/>
  <c r="G4" i="3"/>
  <c r="G3" i="3"/>
  <c r="G2" i="3"/>
  <c r="M66" i="2"/>
  <c r="G66" i="2"/>
  <c r="L66" i="2" s="1"/>
  <c r="M65" i="2"/>
  <c r="G65" i="2"/>
  <c r="L65" i="2" s="1"/>
  <c r="M64" i="2"/>
  <c r="G64" i="2"/>
  <c r="L64" i="2" s="1"/>
  <c r="M63" i="2"/>
  <c r="G63" i="2"/>
  <c r="L63" i="2" s="1"/>
  <c r="M62" i="2"/>
  <c r="G62" i="2"/>
  <c r="L62" i="2" s="1"/>
  <c r="M61" i="2"/>
  <c r="G61" i="2"/>
  <c r="L61" i="2" s="1"/>
  <c r="M60" i="2"/>
  <c r="G60" i="2"/>
  <c r="L60" i="2" s="1"/>
  <c r="M59" i="2"/>
  <c r="G59" i="2"/>
  <c r="L59" i="2" s="1"/>
  <c r="M58" i="2"/>
  <c r="G58" i="2"/>
  <c r="L58" i="2" s="1"/>
  <c r="M57" i="2"/>
  <c r="G57" i="2"/>
  <c r="L57" i="2" s="1"/>
  <c r="M56" i="2"/>
  <c r="G56" i="2"/>
  <c r="L56" i="2" s="1"/>
  <c r="M55" i="2"/>
  <c r="G55" i="2"/>
  <c r="L55" i="2" s="1"/>
  <c r="M54" i="2"/>
  <c r="G54" i="2"/>
  <c r="L54" i="2" s="1"/>
  <c r="M53" i="2"/>
  <c r="G53" i="2"/>
  <c r="L53" i="2" s="1"/>
  <c r="M52" i="2"/>
  <c r="G52" i="2"/>
  <c r="L52" i="2" s="1"/>
  <c r="M51" i="2"/>
  <c r="G51" i="2"/>
  <c r="L51" i="2" s="1"/>
  <c r="M50" i="2"/>
  <c r="G50" i="2"/>
  <c r="L50" i="2" s="1"/>
  <c r="M49" i="2"/>
  <c r="G49" i="2"/>
  <c r="L49" i="2" s="1"/>
  <c r="M48" i="2"/>
  <c r="G48" i="2"/>
  <c r="L48" i="2" s="1"/>
  <c r="M47" i="2"/>
  <c r="G47" i="2"/>
  <c r="L47" i="2" s="1"/>
  <c r="M46" i="2"/>
  <c r="G46" i="2"/>
  <c r="L46" i="2" s="1"/>
  <c r="M45" i="2"/>
  <c r="G45" i="2"/>
  <c r="L45" i="2" s="1"/>
  <c r="M44" i="2"/>
  <c r="G44" i="2"/>
  <c r="L44" i="2" s="1"/>
  <c r="M43" i="2"/>
  <c r="G43" i="2"/>
  <c r="L43" i="2" s="1"/>
  <c r="M42" i="2"/>
  <c r="G42" i="2"/>
  <c r="L42" i="2" s="1"/>
  <c r="M41" i="2"/>
  <c r="G41" i="2"/>
  <c r="L41" i="2" s="1"/>
  <c r="M40" i="2"/>
  <c r="G40" i="2"/>
  <c r="L40" i="2" s="1"/>
  <c r="M39" i="2"/>
  <c r="G39" i="2"/>
  <c r="L39" i="2" s="1"/>
  <c r="M38" i="2"/>
  <c r="G38" i="2"/>
  <c r="L38" i="2" s="1"/>
  <c r="M37" i="2"/>
  <c r="G37" i="2"/>
  <c r="L37" i="2" s="1"/>
  <c r="M36" i="2"/>
  <c r="G36" i="2"/>
  <c r="L36" i="2" s="1"/>
  <c r="M35" i="2"/>
  <c r="G35" i="2"/>
  <c r="L35" i="2" s="1"/>
  <c r="M34" i="2"/>
  <c r="G34" i="2"/>
  <c r="L34" i="2" s="1"/>
  <c r="M33" i="2"/>
  <c r="G33" i="2"/>
  <c r="L33" i="2" s="1"/>
  <c r="M32" i="2"/>
  <c r="G32" i="2"/>
  <c r="L32" i="2" s="1"/>
  <c r="M31" i="2"/>
  <c r="G31" i="2"/>
  <c r="L31" i="2" s="1"/>
  <c r="M30" i="2"/>
  <c r="G30" i="2"/>
  <c r="L30" i="2" s="1"/>
  <c r="M29" i="2"/>
  <c r="G29" i="2"/>
  <c r="L29" i="2" s="1"/>
  <c r="M28" i="2"/>
  <c r="G28" i="2"/>
  <c r="L28" i="2" s="1"/>
  <c r="M27" i="2"/>
  <c r="G27" i="2"/>
  <c r="L27" i="2" s="1"/>
  <c r="M26" i="2"/>
  <c r="G26" i="2"/>
  <c r="L26" i="2" s="1"/>
  <c r="M25" i="2"/>
  <c r="G25" i="2"/>
  <c r="L25" i="2" s="1"/>
  <c r="M24" i="2"/>
  <c r="G24" i="2"/>
  <c r="L24" i="2" s="1"/>
  <c r="M23" i="2"/>
  <c r="G23" i="2"/>
  <c r="L23" i="2" s="1"/>
  <c r="M22" i="2"/>
  <c r="G22" i="2"/>
  <c r="L22" i="2" s="1"/>
  <c r="M21" i="2"/>
  <c r="G21" i="2"/>
  <c r="L21" i="2" s="1"/>
  <c r="M20" i="2"/>
  <c r="G20" i="2"/>
  <c r="L20" i="2" s="1"/>
  <c r="M19" i="2"/>
  <c r="G19" i="2"/>
  <c r="L19" i="2" s="1"/>
  <c r="M18" i="2"/>
  <c r="G18" i="2"/>
  <c r="L18" i="2" s="1"/>
  <c r="M17" i="2"/>
  <c r="G17" i="2"/>
  <c r="L17" i="2" s="1"/>
  <c r="M16" i="2"/>
  <c r="G16" i="2"/>
  <c r="L16" i="2" s="1"/>
  <c r="M15" i="2"/>
  <c r="G15" i="2"/>
  <c r="L15" i="2" s="1"/>
  <c r="M14" i="2"/>
  <c r="G14" i="2"/>
  <c r="L14" i="2" s="1"/>
  <c r="M13" i="2"/>
  <c r="G13" i="2"/>
  <c r="L13" i="2" s="1"/>
  <c r="M12" i="2"/>
  <c r="G12" i="2"/>
  <c r="L12" i="2" s="1"/>
  <c r="M11" i="2"/>
  <c r="G11" i="2"/>
  <c r="L11" i="2" s="1"/>
  <c r="M10" i="2"/>
  <c r="G10" i="2"/>
  <c r="L10" i="2" s="1"/>
  <c r="M9" i="2"/>
  <c r="G9" i="2"/>
  <c r="L9" i="2" s="1"/>
  <c r="M8" i="2"/>
  <c r="G8" i="2"/>
  <c r="L8" i="2" s="1"/>
  <c r="M7" i="2"/>
  <c r="G7" i="2"/>
  <c r="L7" i="2" s="1"/>
  <c r="M6" i="2"/>
  <c r="G6" i="2"/>
  <c r="L6" i="2" s="1"/>
  <c r="M5" i="2"/>
  <c r="G5" i="2"/>
  <c r="L5" i="2" s="1"/>
  <c r="M4" i="2"/>
  <c r="G4" i="2"/>
  <c r="L4" i="2" s="1"/>
  <c r="M3" i="2"/>
  <c r="G3" i="2"/>
  <c r="L3" i="2" s="1"/>
  <c r="M2" i="2"/>
  <c r="C34" i="1" s="1"/>
  <c r="G2" i="2"/>
  <c r="L2" i="2" s="1"/>
  <c r="C27" i="1" s="1"/>
  <c r="C32" i="1"/>
  <c r="C31" i="1"/>
  <c r="C30" i="1"/>
  <c r="C29" i="1"/>
  <c r="C28" i="1"/>
  <c r="C26" i="1"/>
  <c r="C25" i="1"/>
  <c r="C24" i="1"/>
  <c r="C33" i="1" l="1"/>
</calcChain>
</file>

<file path=xl/sharedStrings.xml><?xml version="1.0" encoding="utf-8"?>
<sst xmlns="http://schemas.openxmlformats.org/spreadsheetml/2006/main" count="2226" uniqueCount="627">
  <si>
    <t>Verity: SASB mapping for materiality weights</t>
  </si>
  <si>
    <t>DRAFT FOR REVIEW: for the researcher to check and the supervisor to approve</t>
  </si>
  <si>
    <t>How the weights will work</t>
  </si>
  <si>
    <t>Rule</t>
  </si>
  <si>
    <t>A term counts more when its SASB category is material for the company's SASB industry. Otherwise it counts at the standard weight of 1.</t>
  </si>
  <si>
    <t>Example</t>
  </si>
  <si>
    <t>'health and safety' counts 1.5 for a cement company (workforce safety is material in that industry) and 1.0 for a bank (it is not).</t>
  </si>
  <si>
    <t>Weight values</t>
  </si>
  <si>
    <t>1.5 is the working value. Results will also be run at 1.25, 2.0 and unweighted, to show whether rankings depend on the exact number.</t>
  </si>
  <si>
    <t>What is in this workbook</t>
  </si>
  <si>
    <t>Company industries (Step 1)</t>
  </si>
  <si>
    <t>DRAFT: each of the 65 companies assigned one SASB industry, with the reason and a confidence level.</t>
  </si>
  <si>
    <t>Term mapping (Step 2)</t>
  </si>
  <si>
    <t>DRAFT: each of the 67 current terms assigned to a SASB category, plus its group (core, financial add-on or generic).</t>
  </si>
  <si>
    <t>Industry materiality</t>
  </si>
  <si>
    <t>DRAFT: for each of the 22 industries in the sample, SASB's disclosure topics and the category each belongs to. This is SASB's own content, so it needs checking against the SASB Standards Navigator, not deciding.</t>
  </si>
  <si>
    <t>SASB categories / SASB industries</t>
  </si>
  <si>
    <t>Reference lists that feed the drop-downs and the counts.</t>
  </si>
  <si>
    <t>Step 3: sign-off</t>
  </si>
  <si>
    <t>The researcher reviews the yellow columns on the three draft sheets, then the supervisor approves.</t>
  </si>
  <si>
    <t>How to review (yellow columns)</t>
  </si>
  <si>
    <t>Agree?</t>
  </si>
  <si>
    <t>Choose Yes or No from the drop-down.</t>
  </si>
  <si>
    <t>Change to</t>
  </si>
  <si>
    <t>If No, pick the correct SASB industry or category from the drop-down.</t>
  </si>
  <si>
    <t>Comment</t>
  </si>
  <si>
    <t>Any reason or question. Example: Agree? = No · Change to = Real Estate · Comment = 'most of its revenue is rental income'.</t>
  </si>
  <si>
    <t>Where to focus</t>
  </si>
  <si>
    <t>Rows marked Low or Medium confidence, and notes starting with QUESTION (shaded pink).</t>
  </si>
  <si>
    <t>Summary (updates automatically)</t>
  </si>
  <si>
    <t>Companies</t>
  </si>
  <si>
    <t>SASB industries used</t>
  </si>
  <si>
    <t>Companies labelled financial in your list</t>
  </si>
  <si>
    <t>Companies in SASB's Financials sector (would get the add-on)</t>
  </si>
  <si>
    <t>Companies at Low confidence</t>
  </si>
  <si>
    <t>Terms in total</t>
  </si>
  <si>
    <t>Core terms (scored for every company)</t>
  </si>
  <si>
    <t>Financial add-on terms</t>
  </si>
  <si>
    <t>Core terms with no SASB category (always weight 1)</t>
  </si>
  <si>
    <t>Average core terms with extra weight: banks</t>
  </si>
  <si>
    <t>Average core terms with extra weight: all other companies</t>
  </si>
  <si>
    <t>Points for the supervisor</t>
  </si>
  <si>
    <t>1. Five companies are new to Verity</t>
  </si>
  <si>
    <t>Gulf Hotels Group, Jazeera Steel, Salam International Investment, Barwa Real Estate and Jazeera Airways. They have no market value in the list, so the sample is no longer purely 'top companies by market value'. The selection basis for these five needs a sentence in the methodology.</t>
  </si>
  <si>
    <t>2. Two 'financial' labels change</t>
  </si>
  <si>
    <t>Saudi Industrial Investment Group (petrochemical holdings) and Dubai Investments (diversified, mainly property) are labelled Financial Services but are not financial businesses under SASB. Proposed: only companies in SASB's Financials sector get the financial add-on.</t>
  </si>
  <si>
    <t>3. Judgement calls</t>
  </si>
  <si>
    <t>Property developers (Home Builders vs Real Estate have different material topics), integrated firms (Aramco, Petro Rabigh, Savola, Almarai, Industries Qatar), and four Low-confidence cases (CATRION, Dubai Investments, OMINVEST, Salam International).</t>
  </si>
  <si>
    <t>4. Weighting mostly affects E and S</t>
  </si>
  <si>
    <t>SASB leaves board composition and similar governance topics outside its scope, so most Governance terms have no SASB category and stay at weight 1 for everyone.</t>
  </si>
  <si>
    <t>5. Gap for non-banks</t>
  </si>
  <si>
    <t>Seven SASB categories have no Verity term (see 'SASB categories', column D = 0), including Air Quality and Critical Incident Risk Management. These are material for chemicals, cement, oil and gas, metals and airlines, which make up a large part of the sample.</t>
  </si>
  <si>
    <t>6. Two term questions</t>
  </si>
  <si>
    <t>Should 'CSR' be counted with the generic terms? Should 'zakat' stay in the list?</t>
  </si>
  <si>
    <t>Sources</t>
  </si>
  <si>
    <t>Company list</t>
  </si>
  <si>
    <t>Updated_List_of_Companies.xlsx, supplied by the researcher (65 companies).</t>
  </si>
  <si>
    <t>SASB industries and categories</t>
  </si>
  <si>
    <t>SASB Standards: 77 industries (SICS) and 26 General Issue Categories in five dimensions. Verify in the SASB Standards Navigator: https://navigator.sasb.ifrs.org</t>
  </si>
  <si>
    <t>Drafted from the SASB industry standards' disclosure topics. Commercial Banks topics checked against published SASB indexes, which include the newer Financed Emissions topic. Other industries: verify each row.</t>
  </si>
  <si>
    <t>Governance scope</t>
  </si>
  <si>
    <t>BDO, 'SASB Issues Sustainability Reporting Standards – Why Boards Should Take Notice': traditional governance issues such as board composition are outside SASB's scope.</t>
  </si>
  <si>
    <t>Term list</t>
  </si>
  <si>
    <t>Verity taxonomy v3 (67 terms), from the methodology fact sheet.</t>
  </si>
  <si>
    <t>#</t>
  </si>
  <si>
    <t>Company</t>
  </si>
  <si>
    <t>Symbol</t>
  </si>
  <si>
    <t>Country</t>
  </si>
  <si>
    <t>Industry (your list)</t>
  </si>
  <si>
    <t>Labelled financial today?</t>
  </si>
  <si>
    <t>SASB sector</t>
  </si>
  <si>
    <t>SASB industry</t>
  </si>
  <si>
    <t>Main business (basis for the choice)</t>
  </si>
  <si>
    <t>Confidence</t>
  </si>
  <si>
    <t>Note</t>
  </si>
  <si>
    <t>Gets financial add-on? (proposed)</t>
  </si>
  <si>
    <t>Core terms that get extra weight (draft)</t>
  </si>
  <si>
    <t>Saudi Aramco</t>
  </si>
  <si>
    <t>2222</t>
  </si>
  <si>
    <t>Saudi Arabia</t>
  </si>
  <si>
    <t>Energy</t>
  </si>
  <si>
    <t>No</t>
  </si>
  <si>
    <t>Oil &amp; Gas – Exploration &amp; Production</t>
  </si>
  <si>
    <t>Integrated oil and gas; crude production is the core, with large refining and chemicals arms</t>
  </si>
  <si>
    <t>High</t>
  </si>
  <si>
    <t>Integrated firm. Alternative: Oil &amp; Gas – Refining &amp; Marketing.</t>
  </si>
  <si>
    <t>Al Rajhi Bank</t>
  </si>
  <si>
    <t>1120</t>
  </si>
  <si>
    <t>Financial Services</t>
  </si>
  <si>
    <t>Yes</t>
  </si>
  <si>
    <t>Commercial Banks</t>
  </si>
  <si>
    <t>Commercial bank</t>
  </si>
  <si>
    <t>The Saudi National Bank</t>
  </si>
  <si>
    <t>1180</t>
  </si>
  <si>
    <t>Saudi Basic Industries Corporation SABIC</t>
  </si>
  <si>
    <t>2010</t>
  </si>
  <si>
    <t>Industrial</t>
  </si>
  <si>
    <t>Chemicals</t>
  </si>
  <si>
    <t>Petrochemicals, polymers and specialty chemicals</t>
  </si>
  <si>
    <t>Saudi Telecom Company</t>
  </si>
  <si>
    <t>7010</t>
  </si>
  <si>
    <t>Communication Services</t>
  </si>
  <si>
    <t>Telecommunication Services</t>
  </si>
  <si>
    <t>Mobile, fixed and internet telecom operator</t>
  </si>
  <si>
    <t>Maaden</t>
  </si>
  <si>
    <t>1211</t>
  </si>
  <si>
    <t>Metals &amp; Mining</t>
  </si>
  <si>
    <t>Phosphate, aluminium and gold mining and processing</t>
  </si>
  <si>
    <t>Riyad Bank</t>
  </si>
  <si>
    <t>1010</t>
  </si>
  <si>
    <t>Alinma Bank</t>
  </si>
  <si>
    <t>1150</t>
  </si>
  <si>
    <t>Yanbu Cement Company</t>
  </si>
  <si>
    <t>3060</t>
  </si>
  <si>
    <t>Construction Materials</t>
  </si>
  <si>
    <t>Cement production</t>
  </si>
  <si>
    <t>SABIC Agri-Nutrients Company</t>
  </si>
  <si>
    <t>2020</t>
  </si>
  <si>
    <t>Fertilisers (ammonia, urea)</t>
  </si>
  <si>
    <t>SASB places fertiliser producers under Chemicals.</t>
  </si>
  <si>
    <t>Almarai</t>
  </si>
  <si>
    <t>2280</t>
  </si>
  <si>
    <t>Consumer Defensive</t>
  </si>
  <si>
    <t>Meat, Poultry &amp; Dairy</t>
  </si>
  <si>
    <t>Dairy, juice, bakery and poultry</t>
  </si>
  <si>
    <t>Medium</t>
  </si>
  <si>
    <t>Alternative: Processed Foods.</t>
  </si>
  <si>
    <t>Bank Albilad</t>
  </si>
  <si>
    <t>1140</t>
  </si>
  <si>
    <t>Etihad Etisalat (Mobily)</t>
  </si>
  <si>
    <t>7020</t>
  </si>
  <si>
    <t>Savola Group</t>
  </si>
  <si>
    <t>2050</t>
  </si>
  <si>
    <t>Processed Foods</t>
  </si>
  <si>
    <t>Edible oils, sugar and pasta, plus a large supermarket chain (Panda)</t>
  </si>
  <si>
    <t>Alternative: Food Retailers &amp; Distributors, depending on which segment is larger.</t>
  </si>
  <si>
    <t>Yanbu National Petrochemical Co</t>
  </si>
  <si>
    <t>2290</t>
  </si>
  <si>
    <t>Petrochemicals</t>
  </si>
  <si>
    <t>Dar Al Arkan Real Estate Development Company</t>
  </si>
  <si>
    <t>4300</t>
  </si>
  <si>
    <t>Real Estate</t>
  </si>
  <si>
    <t>Home Builders</t>
  </si>
  <si>
    <t>Land and residential development for sale</t>
  </si>
  <si>
    <t>Alternative: Real Estate. The two have different material topics, so this choice matters.</t>
  </si>
  <si>
    <t>Advanced Petrochemical</t>
  </si>
  <si>
    <t>2330</t>
  </si>
  <si>
    <t>Polypropylene and other petrochemicals</t>
  </si>
  <si>
    <t>Mouwasat Medical Services Company</t>
  </si>
  <si>
    <t>4002</t>
  </si>
  <si>
    <t>Healthcare</t>
  </si>
  <si>
    <t>Health Care Delivery</t>
  </si>
  <si>
    <t>Private hospitals and clinics</t>
  </si>
  <si>
    <t>Saudi Airlines Catering Company CATRION</t>
  </si>
  <si>
    <t>6004</t>
  </si>
  <si>
    <t>Consumer Cyclical</t>
  </si>
  <si>
    <t>Restaurants</t>
  </si>
  <si>
    <t>Airline and institutional catering</t>
  </si>
  <si>
    <t>Low</t>
  </si>
  <si>
    <t>No exact SASB match for catering. Restaurants is the closest (food safety, nutrition, food waste).</t>
  </si>
  <si>
    <t>National Industrialization Co</t>
  </si>
  <si>
    <t>2060</t>
  </si>
  <si>
    <t>Petrochemicals and titanium dioxide</t>
  </si>
  <si>
    <t>Rabigh Refining &amp; Petrochemical Co.</t>
  </si>
  <si>
    <t>2380</t>
  </si>
  <si>
    <t>Oil &amp; Gas – Refining &amp; Marketing</t>
  </si>
  <si>
    <t>Integrated refinery and petrochemical complex</t>
  </si>
  <si>
    <t>Alternative: Chemicals.</t>
  </si>
  <si>
    <t>Sahara International Petrochemical Co.</t>
  </si>
  <si>
    <t>2310</t>
  </si>
  <si>
    <t>Mobile Telecommunications Co. Saudi Arabia (Zain)</t>
  </si>
  <si>
    <t>7030</t>
  </si>
  <si>
    <t>Jarir Marketing Co</t>
  </si>
  <si>
    <t>4190</t>
  </si>
  <si>
    <t>Consumer Discretionary</t>
  </si>
  <si>
    <t>Multiline and Specialty Retailers &amp; Distributors</t>
  </si>
  <si>
    <t>Retail of books, office supplies and electronics</t>
  </si>
  <si>
    <t>Saudi Cement</t>
  </si>
  <si>
    <t>3030</t>
  </si>
  <si>
    <t>Abdullah Al Othaim Markets</t>
  </si>
  <si>
    <t>4001</t>
  </si>
  <si>
    <t>Food Retailers &amp; Distributors</t>
  </si>
  <si>
    <t>Supermarket chain</t>
  </si>
  <si>
    <t>Saudi Industrial Investment Group</t>
  </si>
  <si>
    <t>2250</t>
  </si>
  <si>
    <t>Holding company whose investments are petrochemical joint ventures</t>
  </si>
  <si>
    <t>QUESTION: labelled Financial Services in the list, but the underlying business is petrochemicals.</t>
  </si>
  <si>
    <t>Abu Dhabi National Oil Company For Distribution</t>
  </si>
  <si>
    <t>ADNOCDIST</t>
  </si>
  <si>
    <t>United Arab Emirates</t>
  </si>
  <si>
    <t>Fuel retail stations and fuel distribution</t>
  </si>
  <si>
    <t>SASB includes fuel retail under Refining &amp; Marketing.</t>
  </si>
  <si>
    <t>Emirates Telecom (Etisalat Group)</t>
  </si>
  <si>
    <t>EAND</t>
  </si>
  <si>
    <t>First Abu Dhabi Bank</t>
  </si>
  <si>
    <t>FAB</t>
  </si>
  <si>
    <t>Abu Dhabi National Energy Company</t>
  </si>
  <si>
    <t>TAQA</t>
  </si>
  <si>
    <t>Electric Utilities &amp; Power Generators</t>
  </si>
  <si>
    <t>Power and water generation, transmission and distribution; some oil and gas</t>
  </si>
  <si>
    <t>Abu Dhabi Commercial Bank</t>
  </si>
  <si>
    <t>ADCB</t>
  </si>
  <si>
    <t>Aldar Properties PJSC</t>
  </si>
  <si>
    <t>ALDAR</t>
  </si>
  <si>
    <t>Property development plus a large rental (investment) portfolio</t>
  </si>
  <si>
    <t>Alternative: Home Builders.</t>
  </si>
  <si>
    <t>The National Bank of Ras Al Khaimah</t>
  </si>
  <si>
    <t>RAKBANK</t>
  </si>
  <si>
    <t>Emaar Properties</t>
  </si>
  <si>
    <t>EMAAR</t>
  </si>
  <si>
    <t>Master-planned residential development for sale, plus malls and hotels</t>
  </si>
  <si>
    <t>Alternative: Real Estate.</t>
  </si>
  <si>
    <t>Dubai Islamic Bank</t>
  </si>
  <si>
    <t>DIB</t>
  </si>
  <si>
    <t>Dubai Investments PJSC</t>
  </si>
  <si>
    <t>DIC</t>
  </si>
  <si>
    <t>Diversified group: property, manufacturing and investments</t>
  </si>
  <si>
    <t>QUESTION: labelled Financial Services in the list. Property is assumed to be the largest segment; check the segment split in its annual report.</t>
  </si>
  <si>
    <t>Air Arabia PJSC</t>
  </si>
  <si>
    <t>AIRA</t>
  </si>
  <si>
    <t>Airlines</t>
  </si>
  <si>
    <t>Low-cost airline</t>
  </si>
  <si>
    <t>Emirates NBD PJSC</t>
  </si>
  <si>
    <t>NBD</t>
  </si>
  <si>
    <t>QNB (Qatar National Bank)</t>
  </si>
  <si>
    <t>QNBK</t>
  </si>
  <si>
    <t>Qatar</t>
  </si>
  <si>
    <t>Industries Qatar</t>
  </si>
  <si>
    <t>IQCD</t>
  </si>
  <si>
    <t>Petrochemicals, fertilisers and steel (holding company)</t>
  </si>
  <si>
    <t>Alternative: Iron &amp; Steel Producers for the steel arm.</t>
  </si>
  <si>
    <t>Ooredoo Q.P.S.C.</t>
  </si>
  <si>
    <t>ORDS</t>
  </si>
  <si>
    <t>Qatar Fuel Company (WOQOD)</t>
  </si>
  <si>
    <t>QFLS</t>
  </si>
  <si>
    <t>Fuel distribution and retail stations</t>
  </si>
  <si>
    <t>Baladna</t>
  </si>
  <si>
    <t>BLDN</t>
  </si>
  <si>
    <t>Dairy production</t>
  </si>
  <si>
    <t>Gulf International Services</t>
  </si>
  <si>
    <t>GISS</t>
  </si>
  <si>
    <t>Oil &amp; Gas – Services</t>
  </si>
  <si>
    <t>Drilling, helicopter services, insurance and catering</t>
  </si>
  <si>
    <t>Drilling is assumed to be the largest segment.</t>
  </si>
  <si>
    <t>Qatar Gas Transport Co (Nakilat)</t>
  </si>
  <si>
    <t>QGTS</t>
  </si>
  <si>
    <t>Marine Transportation</t>
  </si>
  <si>
    <t>LNG shipping and ship repair</t>
  </si>
  <si>
    <t>Alternative: Oil &amp; Gas – Midstream.</t>
  </si>
  <si>
    <t>Kuwait Finance House</t>
  </si>
  <si>
    <t>KFH</t>
  </si>
  <si>
    <t>Kuwait</t>
  </si>
  <si>
    <t>National Bank of Kuwait</t>
  </si>
  <si>
    <t>NBK</t>
  </si>
  <si>
    <t>Boubyan Bank</t>
  </si>
  <si>
    <t>BOUBYAN</t>
  </si>
  <si>
    <t>Zain (Mobile Telecommunications Company)</t>
  </si>
  <si>
    <t>ZAIN</t>
  </si>
  <si>
    <t>Kuwait Telecommunications Company</t>
  </si>
  <si>
    <t>STC</t>
  </si>
  <si>
    <t>Tamdeen Real Estate Company</t>
  </si>
  <si>
    <t>TAM</t>
  </si>
  <si>
    <t>Shopping malls and property</t>
  </si>
  <si>
    <t>Bank Muscat BKMB</t>
  </si>
  <si>
    <t>BKMB</t>
  </si>
  <si>
    <t>Oman</t>
  </si>
  <si>
    <t>Oman Telecommunications Company OTEL</t>
  </si>
  <si>
    <t>OTEL</t>
  </si>
  <si>
    <t>Oman International Development and Investment Company</t>
  </si>
  <si>
    <t>OMVS</t>
  </si>
  <si>
    <t>Asset Management &amp; Custody Activities</t>
  </si>
  <si>
    <t>Investment holding company with stakes in banking, insurance and other businesses</t>
  </si>
  <si>
    <t>No exact SASB match for an investment holding company.</t>
  </si>
  <si>
    <t>Sohar International Bank</t>
  </si>
  <si>
    <t>BKSB</t>
  </si>
  <si>
    <t>Bank Dhofar</t>
  </si>
  <si>
    <t>BKDB</t>
  </si>
  <si>
    <t>National Bank of Bahrain</t>
  </si>
  <si>
    <t>NBB</t>
  </si>
  <si>
    <t>Bahrain</t>
  </si>
  <si>
    <t>Bahrain Telecommunications BEYON</t>
  </si>
  <si>
    <t>BEYON</t>
  </si>
  <si>
    <t>Aluminium Bahrain (Alba)</t>
  </si>
  <si>
    <t>ALBH</t>
  </si>
  <si>
    <t>Aluminium smelting</t>
  </si>
  <si>
    <t>SASB's Metals &amp; Mining covers smelting. Verify.</t>
  </si>
  <si>
    <t>Gulf Hotels Group</t>
  </si>
  <si>
    <t>GHG</t>
  </si>
  <si>
    <t>(not given)</t>
  </si>
  <si>
    <t>Hotels &amp; Lodging</t>
  </si>
  <si>
    <t>Hotels, catering and hospitality</t>
  </si>
  <si>
    <t>Jazeera Steel</t>
  </si>
  <si>
    <t>ATMI</t>
  </si>
  <si>
    <t>Iron &amp; Steel Producers</t>
  </si>
  <si>
    <t>Steel pipes and structural sections</t>
  </si>
  <si>
    <t>Salam International Investment</t>
  </si>
  <si>
    <t>SIIS</t>
  </si>
  <si>
    <t>Diversified group: construction, property, consumer retail and energy services</t>
  </si>
  <si>
    <t>QUESTION: no single dominant business. Check the segment split in its annual report.</t>
  </si>
  <si>
    <t>Barwa Real Estate</t>
  </si>
  <si>
    <t>BRES</t>
  </si>
  <si>
    <t>Property development and a large rental portfolio</t>
  </si>
  <si>
    <t>Jazeera Airways</t>
  </si>
  <si>
    <t>JAZEERA</t>
  </si>
  <si>
    <t>Pillar (today)</t>
  </si>
  <si>
    <t>Term</t>
  </si>
  <si>
    <t>Group</t>
  </si>
  <si>
    <t>SASB category (primary)</t>
  </si>
  <si>
    <t>SASB category (secondary)</t>
  </si>
  <si>
    <t>SASB dimension</t>
  </si>
  <si>
    <t>Environmental</t>
  </si>
  <si>
    <t>climate change</t>
  </si>
  <si>
    <t>Core</t>
  </si>
  <si>
    <t>GHG Emissions</t>
  </si>
  <si>
    <t>Physical Impacts of Climate Change</t>
  </si>
  <si>
    <t>Covers both cutting emissions and coping with climate effects.</t>
  </si>
  <si>
    <t>climate risk</t>
  </si>
  <si>
    <t>Business Model Resilience</t>
  </si>
  <si>
    <t>Physical risk sits under Physical Impacts; transition risk under Business Model Resilience.</t>
  </si>
  <si>
    <t>carbon emissions</t>
  </si>
  <si>
    <t>carbon footprint</t>
  </si>
  <si>
    <t>greenhouse gas</t>
  </si>
  <si>
    <t>renewable energy</t>
  </si>
  <si>
    <t>Energy Management</t>
  </si>
  <si>
    <t>energy efficiency</t>
  </si>
  <si>
    <t>green financing</t>
  </si>
  <si>
    <t>Financial add-on</t>
  </si>
  <si>
    <t>Product Design &amp; Lifecycle Management</t>
  </si>
  <si>
    <t>For banks, SASB treats ESG in lending as a product-design topic. Verify in the SASB Navigator.</t>
  </si>
  <si>
    <t>green bond</t>
  </si>
  <si>
    <t>No SASB category</t>
  </si>
  <si>
    <t>Any company can issue one, so kept in the core. GCC firms often issue 'green sukuk', which this term does not catch: possible gap.</t>
  </si>
  <si>
    <t>sustainable finance</t>
  </si>
  <si>
    <t>Same reasoning as green financing. Verify.</t>
  </si>
  <si>
    <t>environmental risk</t>
  </si>
  <si>
    <t>Too broad to tie to one category.</t>
  </si>
  <si>
    <t>water management</t>
  </si>
  <si>
    <t>Water &amp; Wastewater Management</t>
  </si>
  <si>
    <t>waste management</t>
  </si>
  <si>
    <t>Waste &amp; Hazardous Materials Management</t>
  </si>
  <si>
    <t>biodiversity</t>
  </si>
  <si>
    <t>Ecological Impacts</t>
  </si>
  <si>
    <t>ESG</t>
  </si>
  <si>
    <t>Generic – counted separately</t>
  </si>
  <si>
    <t>Agreed decision 3: counted separately, not as Environmental.</t>
  </si>
  <si>
    <t>sustainability</t>
  </si>
  <si>
    <t>Agreed decision 3.</t>
  </si>
  <si>
    <t>GRI</t>
  </si>
  <si>
    <t>net zero</t>
  </si>
  <si>
    <t>sustainable development</t>
  </si>
  <si>
    <t>sustainable financing</t>
  </si>
  <si>
    <t>nature-positive</t>
  </si>
  <si>
    <t>nature-related</t>
  </si>
  <si>
    <t>Often appears as 'nature-related risks'.</t>
  </si>
  <si>
    <t>Social</t>
  </si>
  <si>
    <t>diversity and inclusion</t>
  </si>
  <si>
    <t>Employee Engagement, Diversity &amp; Inclusion</t>
  </si>
  <si>
    <t>gender diversity</t>
  </si>
  <si>
    <t>Often refers to the board rather than the workforce; the benchmark article found the same.</t>
  </si>
  <si>
    <t>human rights</t>
  </si>
  <si>
    <t>Human Rights &amp; Community Relations</t>
  </si>
  <si>
    <t>employee wellbeing</t>
  </si>
  <si>
    <t>Employee Health &amp; Safety</t>
  </si>
  <si>
    <t>Labor Practices</t>
  </si>
  <si>
    <t>employee training</t>
  </si>
  <si>
    <t>SASB places workforce skills under this category in several industries.</t>
  </si>
  <si>
    <t>health and safety</t>
  </si>
  <si>
    <t>Product Quality &amp; Safety</t>
  </si>
  <si>
    <t>Mostly workplace safety; sometimes product or customer safety.</t>
  </si>
  <si>
    <t>community investment</t>
  </si>
  <si>
    <t>community development</t>
  </si>
  <si>
    <t>Access &amp; Affordability</t>
  </si>
  <si>
    <t>For banks it can mean development lending.</t>
  </si>
  <si>
    <t>financial inclusion</t>
  </si>
  <si>
    <t>Core SASB topic for commercial banks.</t>
  </si>
  <si>
    <t>responsible lending</t>
  </si>
  <si>
    <t>Selling Practices &amp; Product Labeling</t>
  </si>
  <si>
    <t>fair lending</t>
  </si>
  <si>
    <t>Verify against SASB's mortgage and consumer finance topics.</t>
  </si>
  <si>
    <t>customer privacy</t>
  </si>
  <si>
    <t>Customer Privacy</t>
  </si>
  <si>
    <t>customer satisfaction</t>
  </si>
  <si>
    <t>SASB has no general customer-satisfaction topic.</t>
  </si>
  <si>
    <t>zakat</t>
  </si>
  <si>
    <t>QUESTION: often appears as a tax or accounting item rather than social disclosure. Keep in the term list?</t>
  </si>
  <si>
    <t>CSR</t>
  </si>
  <si>
    <t>Generic – proposed</t>
  </si>
  <si>
    <t>QUESTION: as generic as 'sustainability'. Proposed: count separately with the four generic terms.</t>
  </si>
  <si>
    <t>financial literacy</t>
  </si>
  <si>
    <t>Part of SASB's financial inclusion topic for banks.</t>
  </si>
  <si>
    <t>accessibility</t>
  </si>
  <si>
    <t>Ambiguous word (building, digital or product access). Check sample matches.</t>
  </si>
  <si>
    <t>supply chain</t>
  </si>
  <si>
    <t>Supply Chain Management</t>
  </si>
  <si>
    <t>Governance</t>
  </si>
  <si>
    <t>corporate governance</t>
  </si>
  <si>
    <t>SASB leaves board and governance structure to other frameworks (GRI 2).</t>
  </si>
  <si>
    <t>governance</t>
  </si>
  <si>
    <t>As above.</t>
  </si>
  <si>
    <t>board of directors</t>
  </si>
  <si>
    <t>board independence</t>
  </si>
  <si>
    <t>audit committee</t>
  </si>
  <si>
    <t>risk committee</t>
  </si>
  <si>
    <t>For banks, arguably Systemic Risk Management.</t>
  </si>
  <si>
    <t>risk management</t>
  </si>
  <si>
    <t>Too general; appears in nearly every report.</t>
  </si>
  <si>
    <t>code of conduct</t>
  </si>
  <si>
    <t>Business Ethics</t>
  </si>
  <si>
    <t>whistleblower</t>
  </si>
  <si>
    <t>anti-corruption</t>
  </si>
  <si>
    <t>business ethics</t>
  </si>
  <si>
    <t>executive compensation</t>
  </si>
  <si>
    <t>Board and pay structure: outside SASB's scope.</t>
  </si>
  <si>
    <t>shareholder rights</t>
  </si>
  <si>
    <t>internal control</t>
  </si>
  <si>
    <t>Financial-reporting controls: outside SASB's scope.</t>
  </si>
  <si>
    <t>internal control over financial reporting</t>
  </si>
  <si>
    <t>ICOFR</t>
  </si>
  <si>
    <t>material weakness</t>
  </si>
  <si>
    <t>IT general control</t>
  </si>
  <si>
    <t>Controls over financial IT systems, not data security as SASB defines it.</t>
  </si>
  <si>
    <t>ITGC</t>
  </si>
  <si>
    <t>IT governance</t>
  </si>
  <si>
    <t>Data Security</t>
  </si>
  <si>
    <t>information security</t>
  </si>
  <si>
    <t>cybersecurity</t>
  </si>
  <si>
    <t>data protection</t>
  </si>
  <si>
    <t>fraud</t>
  </si>
  <si>
    <t>remuneration committee</t>
  </si>
  <si>
    <t>ESG committee</t>
  </si>
  <si>
    <t>Governance structure: outside SASB's scope.</t>
  </si>
  <si>
    <t>anti-money laundering</t>
  </si>
  <si>
    <t>Mainly a financial-sector obligation; part of SASB's Business Ethics topic for banks.</t>
  </si>
  <si>
    <t>SASB disclosure topic</t>
  </si>
  <si>
    <t>SASB category (General Issue Category)</t>
  </si>
  <si>
    <t>Confidence in category placement</t>
  </si>
  <si>
    <t>Companies in our sample</t>
  </si>
  <si>
    <t>Checked in SASB Navigator?</t>
  </si>
  <si>
    <t>Financial Inclusion &amp; Capacity Building</t>
  </si>
  <si>
    <t>Incorporation of ESG Factors in Credit Analysis</t>
  </si>
  <si>
    <t>Financed Emissions</t>
  </si>
  <si>
    <t>Systemic Risk Management</t>
  </si>
  <si>
    <t>Transparent Information &amp; Fair Advice for Customers</t>
  </si>
  <si>
    <t>Employee Diversity &amp; Inclusion</t>
  </si>
  <si>
    <t>Incorporation of ESG Factors in Investment Management &amp; Advisory</t>
  </si>
  <si>
    <t>Environmental Footprint of Operations</t>
  </si>
  <si>
    <t>Data Privacy</t>
  </si>
  <si>
    <t>Product End-of-life Management</t>
  </si>
  <si>
    <t>Competitive Behaviour &amp; Open Internet</t>
  </si>
  <si>
    <t>Competitive Behavior</t>
  </si>
  <si>
    <t>Managing Systemic Risks from Technology Disruptions</t>
  </si>
  <si>
    <t>Air Quality</t>
  </si>
  <si>
    <t>Water Management</t>
  </si>
  <si>
    <t>Hazardous Waste Management</t>
  </si>
  <si>
    <t>Community Relations</t>
  </si>
  <si>
    <t>Workforce Health &amp; Safety</t>
  </si>
  <si>
    <t>Product Design for Use-phase Efficiency</t>
  </si>
  <si>
    <t>Safety &amp; Environmental Stewardship of Chemicals</t>
  </si>
  <si>
    <t>Genetically Modified Organisms</t>
  </si>
  <si>
    <t>Management of the Legal &amp; Regulatory Environment</t>
  </si>
  <si>
    <t>Operational Safety, Emergency Preparedness &amp; Response</t>
  </si>
  <si>
    <t>Critical Incident Risk Management</t>
  </si>
  <si>
    <t>Biodiversity Impacts</t>
  </si>
  <si>
    <t>Security, Human Rights &amp; Rights of Indigenous Peoples</t>
  </si>
  <si>
    <t>Reserves Valuation &amp; Capital Expenditures</t>
  </si>
  <si>
    <t>Business Ethics &amp; Transparency</t>
  </si>
  <si>
    <t>Hazardous Materials Management</t>
  </si>
  <si>
    <t>Product Specifications &amp; Clean Fuel Blends</t>
  </si>
  <si>
    <t>Pricing Integrity &amp; Transparency</t>
  </si>
  <si>
    <t>Emissions Reduction Services &amp; Fuels Management</t>
  </si>
  <si>
    <t>Water Management Services</t>
  </si>
  <si>
    <t>Chemicals Management</t>
  </si>
  <si>
    <t>Ecological Impact Management</t>
  </si>
  <si>
    <t>Business Ethics &amp; Payments Transparency</t>
  </si>
  <si>
    <t>Labour Relations</t>
  </si>
  <si>
    <t>Tailings Storage Facilities Management</t>
  </si>
  <si>
    <t>Waste Management</t>
  </si>
  <si>
    <t>Product Innovation</t>
  </si>
  <si>
    <t>Air Emissions</t>
  </si>
  <si>
    <t>Land Use &amp; Ecological Impacts</t>
  </si>
  <si>
    <t>Food Safety</t>
  </si>
  <si>
    <t>Antibiotic Use in Animal Production</t>
  </si>
  <si>
    <t>Animal Care &amp; Welfare</t>
  </si>
  <si>
    <t>Environmental &amp; Social Impacts of Animal Supply Chain</t>
  </si>
  <si>
    <t>Animal &amp; Feed Sourcing</t>
  </si>
  <si>
    <t>Materials Sourcing &amp; Efficiency</t>
  </si>
  <si>
    <t>Health &amp; Nutrition</t>
  </si>
  <si>
    <t>Customer Welfare</t>
  </si>
  <si>
    <t>Product Labelling &amp; Marketing</t>
  </si>
  <si>
    <t>Packaging Lifecycle Management</t>
  </si>
  <si>
    <t>Environmental &amp; Social Impacts of Ingredient Supply Chain</t>
  </si>
  <si>
    <t>Ingredient Sourcing</t>
  </si>
  <si>
    <t>Fleet Fuel Management</t>
  </si>
  <si>
    <t>Air Emissions from Refrigeration</t>
  </si>
  <si>
    <t>Food Waste Management</t>
  </si>
  <si>
    <t>Product Health &amp; Nutrition</t>
  </si>
  <si>
    <t>Labour Practices</t>
  </si>
  <si>
    <t>Management of Environmental &amp; Social Impacts in the Supply Chain</t>
  </si>
  <si>
    <t>Food &amp; Packaging Waste Management</t>
  </si>
  <si>
    <t>Nutritional Content</t>
  </si>
  <si>
    <t>Supply Chain Management &amp; Food Sourcing</t>
  </si>
  <si>
    <t>Energy Management in Retail &amp; Distribution</t>
  </si>
  <si>
    <t>Workforce Diversity &amp; Inclusion</t>
  </si>
  <si>
    <t>Product Sourcing, Packaging &amp; Marketing</t>
  </si>
  <si>
    <t>Patient Privacy &amp; Electronic Health Records</t>
  </si>
  <si>
    <t>Access for Low-Income Patients</t>
  </si>
  <si>
    <t>Quality of Care &amp; Patient Satisfaction</t>
  </si>
  <si>
    <t>Management of Controlled Substances</t>
  </si>
  <si>
    <t>Pricing &amp; Billing Transparency</t>
  </si>
  <si>
    <t>Employee Recruitment, Development &amp; Retention</t>
  </si>
  <si>
    <t>Climate Change Impacts on Human Health &amp; Infrastructure</t>
  </si>
  <si>
    <t>Fraud &amp; Unnecessary Procedures</t>
  </si>
  <si>
    <t>Design for Resource Efficiency</t>
  </si>
  <si>
    <t>Community Impacts of New Developments</t>
  </si>
  <si>
    <t>Climate Change Adaptation</t>
  </si>
  <si>
    <t>Management of Tenant Sustainability Impacts</t>
  </si>
  <si>
    <t>GHG Emissions &amp; Energy Resource Planning</t>
  </si>
  <si>
    <t>Coal Ash Management</t>
  </si>
  <si>
    <t>Energy Affordability</t>
  </si>
  <si>
    <t>End-Use Efficiency &amp; Demand</t>
  </si>
  <si>
    <t>Nuclear Safety &amp; Emergency Management</t>
  </si>
  <si>
    <t>Grid Resiliency</t>
  </si>
  <si>
    <t>Competitive Behaviour</t>
  </si>
  <si>
    <t>Accident &amp; Safety Management</t>
  </si>
  <si>
    <t>Dimension</t>
  </si>
  <si>
    <t>SASB General Issue Category</t>
  </si>
  <si>
    <t>In plain terms</t>
  </si>
  <si>
    <t>Verity terms mapped (primary or secondary)</t>
  </si>
  <si>
    <t>Industries in our sample where material</t>
  </si>
  <si>
    <t>Drop-down list</t>
  </si>
  <si>
    <t>Environment</t>
  </si>
  <si>
    <t>Greenhouse gas emissions from the company's own operations</t>
  </si>
  <si>
    <t>Air pollutants other than greenhouse gases, such as dust, NOx and SOx</t>
  </si>
  <si>
    <t>How much energy the company uses, how efficiently, and from which sources</t>
  </si>
  <si>
    <t>Water use, discharge and exposure to water scarcity</t>
  </si>
  <si>
    <t>Waste generated and handling of hazardous materials</t>
  </si>
  <si>
    <t>Effects on land, ecosystems and biodiversity</t>
  </si>
  <si>
    <t>Social Capital</t>
  </si>
  <si>
    <t>Relations with local communities and respect for human rights</t>
  </si>
  <si>
    <t>How customers' personal data is used</t>
  </si>
  <si>
    <t>Protecting data and systems from breaches</t>
  </si>
  <si>
    <t>Fair access to the company's products and services</t>
  </si>
  <si>
    <t>Safety and quality of products; recalls</t>
  </si>
  <si>
    <t>Effects of products on customers' health and wellbeing</t>
  </si>
  <si>
    <t>Honest marketing, sales and product information</t>
  </si>
  <si>
    <t>Human Capital</t>
  </si>
  <si>
    <t>Wages, working conditions and labour rights</t>
  </si>
  <si>
    <t>Workplace health and safety</t>
  </si>
  <si>
    <t>Workforce diversity, engagement and skills</t>
  </si>
  <si>
    <t>Business Model &amp; Innovation</t>
  </si>
  <si>
    <t>Sustainability built into products and services (for banks: ESG in lending decisions)</t>
  </si>
  <si>
    <t>Ability to adapt the business to long-term change, including the low-carbon transition</t>
  </si>
  <si>
    <t>ESG risks among suppliers</t>
  </si>
  <si>
    <t>Sourcing and efficient use of raw materials</t>
  </si>
  <si>
    <t>Exposure to physical climate effects such as heat, flooding and storms</t>
  </si>
  <si>
    <t>Leadership &amp; Governance</t>
  </si>
  <si>
    <t>Corruption, bribery, fraud and ethical conduct</t>
  </si>
  <si>
    <t>Anti-competitive practices</t>
  </si>
  <si>
    <t>Engagement with regulation and public policy</t>
  </si>
  <si>
    <t>Preventing and managing major accidents</t>
  </si>
  <si>
    <t>Risks the company poses to the wider financial system or economy</t>
  </si>
  <si>
    <t>Column F feeds the 'Change to' drop-down on the Term mapping sheet.</t>
  </si>
  <si>
    <t>Consumer Goods</t>
  </si>
  <si>
    <t>Apparel, Accessories &amp; Footwear</t>
  </si>
  <si>
    <t>Appliance Manufacturing</t>
  </si>
  <si>
    <t>Building Products &amp; Furnishings</t>
  </si>
  <si>
    <t>E-Commerce</t>
  </si>
  <si>
    <t>Household &amp; Personal Products</t>
  </si>
  <si>
    <t>Toys &amp; Sporting Goods</t>
  </si>
  <si>
    <t>Extractives &amp; Minerals Processing</t>
  </si>
  <si>
    <t>Coal Operations</t>
  </si>
  <si>
    <t>Oil &amp; Gas – Midstream</t>
  </si>
  <si>
    <t>Financials</t>
  </si>
  <si>
    <t>Consumer Finance</t>
  </si>
  <si>
    <t>Insurance</t>
  </si>
  <si>
    <t>Investment Banking &amp; Brokerage</t>
  </si>
  <si>
    <t>Mortgage Finance</t>
  </si>
  <si>
    <t>Security &amp; Commodity Exchanges</t>
  </si>
  <si>
    <t>Food &amp; Beverage</t>
  </si>
  <si>
    <t>Agricultural Products</t>
  </si>
  <si>
    <t>Alcoholic Beverages</t>
  </si>
  <si>
    <t>Non-Alcoholic Beverages</t>
  </si>
  <si>
    <t>Tobacco</t>
  </si>
  <si>
    <t>Health Care</t>
  </si>
  <si>
    <t>Biotechnology &amp; Pharmaceuticals</t>
  </si>
  <si>
    <t>Drug Retailers</t>
  </si>
  <si>
    <t>Health Care Distributors</t>
  </si>
  <si>
    <t>Managed Care</t>
  </si>
  <si>
    <t>Medical Equipment &amp; Supplies</t>
  </si>
  <si>
    <t>Infrastructure</t>
  </si>
  <si>
    <t>Engineering &amp; Construction Services</t>
  </si>
  <si>
    <t>Gas Utilities &amp; Distributors</t>
  </si>
  <si>
    <t>Real Estate Services</t>
  </si>
  <si>
    <t>Water Utilities &amp; Services</t>
  </si>
  <si>
    <t>Renewable Resources &amp; Alternative Energy</t>
  </si>
  <si>
    <t>Biofuels</t>
  </si>
  <si>
    <t>Forestry Management</t>
  </si>
  <si>
    <t>Fuel Cells &amp; Industrial Batteries</t>
  </si>
  <si>
    <t>Pulp &amp; Paper Products</t>
  </si>
  <si>
    <t>Solar Technology &amp; Project Developers</t>
  </si>
  <si>
    <t>Wind Technology &amp; Project Developers</t>
  </si>
  <si>
    <t>Resource Transformation</t>
  </si>
  <si>
    <t>Aerospace &amp; Defense</t>
  </si>
  <si>
    <t>Containers &amp; Packaging</t>
  </si>
  <si>
    <t>Electrical &amp; Electronic Equipment</t>
  </si>
  <si>
    <t>Industrial Machinery &amp; Goods</t>
  </si>
  <si>
    <t>Services</t>
  </si>
  <si>
    <t>Advertising &amp; Marketing</t>
  </si>
  <si>
    <t>Casinos &amp; Gaming</t>
  </si>
  <si>
    <t>Education</t>
  </si>
  <si>
    <t>Leisure Facilities</t>
  </si>
  <si>
    <t>Media &amp; Entertainment</t>
  </si>
  <si>
    <t>Professional &amp; Commercial Services</t>
  </si>
  <si>
    <t>Technology &amp; Communications</t>
  </si>
  <si>
    <t>Electronic Manufacturing Services &amp; Original Design Manufacturing</t>
  </si>
  <si>
    <t>Hardware</t>
  </si>
  <si>
    <t>Internet Media &amp; Services</t>
  </si>
  <si>
    <t>Semiconductors</t>
  </si>
  <si>
    <t>Software &amp; IT Services</t>
  </si>
  <si>
    <t>Transportation</t>
  </si>
  <si>
    <t>Air Freight &amp; Logistics</t>
  </si>
  <si>
    <t>Auto Parts</t>
  </si>
  <si>
    <t>Automobiles</t>
  </si>
  <si>
    <t>Car Rental &amp; Leasing</t>
  </si>
  <si>
    <t>Cruise Lines</t>
  </si>
  <si>
    <t>Rail Transportation</t>
  </si>
  <si>
    <t>Road Transportation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</si>
</sst>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6"/>
      <color rgb="FF15232B"/>
      <name val="Arial"/>
      <charset val="1"/>
    </font>
    <font>
      <b/>
      <sz val="10"/>
      <color rgb="FF8A5513"/>
      <name val="Arial"/>
      <charset val="1"/>
    </font>
    <font>
      <b/>
      <sz val="12"/>
      <color rgb="FF15232B"/>
      <name val="Arial"/>
      <charset val="1"/>
    </font>
    <font>
      <b/>
      <sz val="10"/>
      <name val="Arial"/>
      <charset val="1"/>
    </font>
    <font>
      <sz val="10"/>
      <name val="Arial"/>
      <charset val="1"/>
    </font>
    <font>
      <b/>
      <sz val="10"/>
      <color rgb="FFFFFFFF"/>
      <name val="Arial"/>
      <charset val="1"/>
    </font>
    <font>
      <b/>
      <sz val="10"/>
      <color rgb="FFB3261E"/>
      <name val="Arial"/>
      <charset val="1"/>
    </font>
    <font>
      <sz val="9"/>
      <color rgb="FF888888"/>
      <name val="Arial"/>
      <charset val="1"/>
    </font>
    <font>
      <i/>
      <sz val="9"/>
      <color rgb="FF5B6770"/>
      <name val="Arial"/>
      <charset val="1"/>
    </font>
  </fonts>
  <fills count="8">
    <fill>
      <patternFill patternType="none"/>
    </fill>
    <fill>
      <patternFill patternType="gray125"/>
    </fill>
    <fill>
      <patternFill patternType="solid">
        <fgColor rgb="FF15232B"/>
        <bgColor rgb="FF003300"/>
      </patternFill>
    </fill>
    <fill>
      <patternFill patternType="solid">
        <fgColor rgb="FF8A5513"/>
        <bgColor rgb="FF993366"/>
      </patternFill>
    </fill>
    <fill>
      <patternFill patternType="solid">
        <fgColor rgb="FFFFF2CC"/>
        <bgColor rgb="FFFBE3D6"/>
      </patternFill>
    </fill>
    <fill>
      <patternFill patternType="solid">
        <fgColor rgb="FFFBE3D6"/>
        <bgColor rgb="FFFFF2CC"/>
      </patternFill>
    </fill>
    <fill>
      <patternFill patternType="solid">
        <fgColor rgb="FFE2EEEA"/>
        <bgColor rgb="FFEEEEEE"/>
      </patternFill>
    </fill>
    <fill>
      <patternFill patternType="solid">
        <fgColor rgb="FFEEEEEE"/>
        <bgColor rgb="FFE2EEEA"/>
      </patternFill>
    </fill>
  </fills>
  <borders count="2">
    <border>
      <left/>
      <right/>
      <top/>
      <bottom/>
      <diagonal/>
    </border>
    <border>
      <left style="thin">
        <color rgb="FFD9D1C1"/>
      </left>
      <right style="thin">
        <color rgb="FFD9D1C1"/>
      </right>
      <top style="thin">
        <color rgb="FFD9D1C1"/>
      </top>
      <bottom style="thin">
        <color rgb="FFD9D1C1"/>
      </bottom>
      <diagonal/>
    </border>
  </borders>
  <cellStyleXfs count="1">
    <xf numFmtId="0" fontId="0" fillId="0" borderId="0"/>
  </cellStyleXfs>
  <cellXfs count="23">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top" wrapText="1"/>
    </xf>
    <xf numFmtId="0" fontId="4" fillId="0" borderId="0" xfId="0" applyFont="1" applyAlignment="1">
      <alignment horizontal="left"/>
    </xf>
    <xf numFmtId="0" fontId="6" fillId="2" borderId="1" xfId="0" applyFont="1" applyFill="1" applyBorder="1" applyAlignment="1">
      <alignment vertical="center" wrapText="1"/>
    </xf>
    <xf numFmtId="0" fontId="6" fillId="3" borderId="1" xfId="0" applyFont="1" applyFill="1" applyBorder="1" applyAlignment="1">
      <alignment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0" borderId="1" xfId="0" applyFont="1" applyBorder="1" applyAlignment="1">
      <alignment horizontal="center" vertical="top"/>
    </xf>
    <xf numFmtId="0" fontId="5" fillId="4" borderId="1" xfId="0" applyFont="1" applyFill="1" applyBorder="1" applyAlignment="1">
      <alignment vertical="top" wrapText="1"/>
    </xf>
    <xf numFmtId="0" fontId="7" fillId="0" borderId="1" xfId="0" applyFont="1" applyBorder="1" applyAlignment="1">
      <alignment horizontal="center" vertical="top"/>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4" fillId="6" borderId="1" xfId="0" applyFont="1" applyFill="1" applyBorder="1" applyAlignment="1">
      <alignment vertical="top" wrapText="1"/>
    </xf>
    <xf numFmtId="0" fontId="5" fillId="7" borderId="1" xfId="0" applyFont="1" applyFill="1" applyBorder="1" applyAlignment="1">
      <alignment vertical="top" wrapText="1"/>
    </xf>
    <xf numFmtId="0" fontId="4" fillId="7" borderId="1" xfId="0" applyFont="1" applyFill="1" applyBorder="1" applyAlignment="1">
      <alignment vertical="top" wrapText="1"/>
    </xf>
    <xf numFmtId="0" fontId="7" fillId="6" borderId="1" xfId="0" applyFont="1" applyFill="1" applyBorder="1" applyAlignment="1">
      <alignment vertical="top" wrapText="1"/>
    </xf>
    <xf numFmtId="0" fontId="7" fillId="0" borderId="1" xfId="0" applyFont="1" applyBorder="1" applyAlignment="1">
      <alignment vertical="top" wrapText="1"/>
    </xf>
    <xf numFmtId="0" fontId="8" fillId="0" borderId="0" xfId="0" applyFont="1"/>
    <xf numFmtId="0" fontId="9"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A5513"/>
      <rgbColor rgb="FF800080"/>
      <rgbColor rgb="FF008080"/>
      <rgbColor rgb="FFD9D1C1"/>
      <rgbColor rgb="FF888888"/>
      <rgbColor rgb="FF9999FF"/>
      <rgbColor rgb="FF993366"/>
      <rgbColor rgb="FFFFF2CC"/>
      <rgbColor rgb="FFE2EE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BE3D6"/>
      <rgbColor rgb="FF3366FF"/>
      <rgbColor rgb="FF33CCCC"/>
      <rgbColor rgb="FF99CC00"/>
      <rgbColor rgb="FFFFCC00"/>
      <rgbColor rgb="FFFF9900"/>
      <rgbColor rgb="FFFF6600"/>
      <rgbColor rgb="FF5B6770"/>
      <rgbColor rgb="FF969696"/>
      <rgbColor rgb="FF003366"/>
      <rgbColor rgb="FF339966"/>
      <rgbColor rgb="FF003300"/>
      <rgbColor rgb="FF333300"/>
      <rgbColor rgb="FFB3261E"/>
      <rgbColor rgb="FF993366"/>
      <rgbColor rgb="FF333399"/>
      <rgbColor rgb="FF15232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49"/>
  <sheetViews>
    <sheetView showGridLines="0" tabSelected="1" zoomScaleNormal="100" workbookViewId="0"/>
  </sheetViews>
  <sheetFormatPr defaultColWidth="8.7109375" defaultRowHeight="15" x14ac:dyDescent="0.25"/>
  <cols>
    <col min="1" max="1" width="4" customWidth="1"/>
    <col min="2" max="2" width="48" customWidth="1"/>
    <col min="3" max="3" width="74" customWidth="1"/>
  </cols>
  <sheetData>
    <row r="2" spans="2:3" ht="20.25" x14ac:dyDescent="0.3">
      <c r="B2" s="1" t="s">
        <v>0</v>
      </c>
    </row>
    <row r="3" spans="2:3" x14ac:dyDescent="0.25">
      <c r="B3" s="2" t="s">
        <v>1</v>
      </c>
    </row>
    <row r="5" spans="2:3" ht="15.75" x14ac:dyDescent="0.25">
      <c r="B5" s="3" t="s">
        <v>2</v>
      </c>
    </row>
    <row r="6" spans="2:3" ht="25.5" x14ac:dyDescent="0.25">
      <c r="B6" s="4" t="s">
        <v>3</v>
      </c>
      <c r="C6" s="5" t="s">
        <v>4</v>
      </c>
    </row>
    <row r="7" spans="2:3" ht="25.5" x14ac:dyDescent="0.25">
      <c r="B7" s="4" t="s">
        <v>5</v>
      </c>
      <c r="C7" s="5" t="s">
        <v>6</v>
      </c>
    </row>
    <row r="8" spans="2:3" ht="25.5" x14ac:dyDescent="0.25">
      <c r="B8" s="4" t="s">
        <v>7</v>
      </c>
      <c r="C8" s="5" t="s">
        <v>8</v>
      </c>
    </row>
    <row r="10" spans="2:3" ht="15.75" x14ac:dyDescent="0.25">
      <c r="B10" s="3" t="s">
        <v>9</v>
      </c>
    </row>
    <row r="11" spans="2:3" ht="25.5" x14ac:dyDescent="0.25">
      <c r="B11" s="4" t="s">
        <v>10</v>
      </c>
      <c r="C11" s="5" t="s">
        <v>11</v>
      </c>
    </row>
    <row r="12" spans="2:3" ht="25.5" x14ac:dyDescent="0.25">
      <c r="B12" s="4" t="s">
        <v>12</v>
      </c>
      <c r="C12" s="5" t="s">
        <v>13</v>
      </c>
    </row>
    <row r="13" spans="2:3" ht="38.25" x14ac:dyDescent="0.25">
      <c r="B13" s="4" t="s">
        <v>14</v>
      </c>
      <c r="C13" s="5" t="s">
        <v>15</v>
      </c>
    </row>
    <row r="14" spans="2:3" x14ac:dyDescent="0.25">
      <c r="B14" s="4" t="s">
        <v>16</v>
      </c>
      <c r="C14" s="5" t="s">
        <v>17</v>
      </c>
    </row>
    <row r="15" spans="2:3" ht="25.5" x14ac:dyDescent="0.25">
      <c r="B15" s="4" t="s">
        <v>18</v>
      </c>
      <c r="C15" s="5" t="s">
        <v>19</v>
      </c>
    </row>
    <row r="17" spans="2:3" ht="15.75" x14ac:dyDescent="0.25">
      <c r="B17" s="3" t="s">
        <v>20</v>
      </c>
    </row>
    <row r="18" spans="2:3" x14ac:dyDescent="0.25">
      <c r="B18" s="4" t="s">
        <v>21</v>
      </c>
      <c r="C18" s="5" t="s">
        <v>22</v>
      </c>
    </row>
    <row r="19" spans="2:3" x14ac:dyDescent="0.25">
      <c r="B19" s="4" t="s">
        <v>23</v>
      </c>
      <c r="C19" s="5" t="s">
        <v>24</v>
      </c>
    </row>
    <row r="20" spans="2:3" ht="25.5" x14ac:dyDescent="0.25">
      <c r="B20" s="4" t="s">
        <v>25</v>
      </c>
      <c r="C20" s="5" t="s">
        <v>26</v>
      </c>
    </row>
    <row r="21" spans="2:3" ht="25.5" x14ac:dyDescent="0.25">
      <c r="B21" s="4" t="s">
        <v>27</v>
      </c>
      <c r="C21" s="5" t="s">
        <v>28</v>
      </c>
    </row>
    <row r="23" spans="2:3" ht="15.75" x14ac:dyDescent="0.25">
      <c r="B23" s="3" t="s">
        <v>29</v>
      </c>
    </row>
    <row r="24" spans="2:3" x14ac:dyDescent="0.25">
      <c r="B24" s="5" t="s">
        <v>30</v>
      </c>
      <c r="C24" s="6">
        <f>COUNTA('Company industries'!B2:B66)</f>
        <v>65</v>
      </c>
    </row>
    <row r="25" spans="2:3" x14ac:dyDescent="0.25">
      <c r="B25" s="5" t="s">
        <v>31</v>
      </c>
      <c r="C25" s="6">
        <f>COUNTIF('SASB industries'!C2:C78,"&gt;0")</f>
        <v>22</v>
      </c>
    </row>
    <row r="26" spans="2:3" x14ac:dyDescent="0.25">
      <c r="B26" s="5" t="s">
        <v>32</v>
      </c>
      <c r="C26" s="6">
        <f>COUNTIF('Company industries'!F2:F66,"Yes")</f>
        <v>21</v>
      </c>
    </row>
    <row r="27" spans="2:3" ht="25.5" x14ac:dyDescent="0.25">
      <c r="B27" s="5" t="s">
        <v>33</v>
      </c>
      <c r="C27" s="6">
        <f>COUNTIF('Company industries'!L2:L66,"Yes")</f>
        <v>19</v>
      </c>
    </row>
    <row r="28" spans="2:3" x14ac:dyDescent="0.25">
      <c r="B28" s="5" t="s">
        <v>34</v>
      </c>
      <c r="C28" s="6">
        <f>COUNTIF('Company industries'!J2:J66,"Low")</f>
        <v>4</v>
      </c>
    </row>
    <row r="29" spans="2:3" x14ac:dyDescent="0.25">
      <c r="B29" s="5" t="s">
        <v>35</v>
      </c>
      <c r="C29" s="6">
        <f>COUNTA('Term mapping'!C2:C68)</f>
        <v>67</v>
      </c>
    </row>
    <row r="30" spans="2:3" x14ac:dyDescent="0.25">
      <c r="B30" s="5" t="s">
        <v>36</v>
      </c>
      <c r="C30" s="6">
        <f>COUNTIF('Term mapping'!D2:D68,"Core")</f>
        <v>54</v>
      </c>
    </row>
    <row r="31" spans="2:3" x14ac:dyDescent="0.25">
      <c r="B31" s="5" t="s">
        <v>37</v>
      </c>
      <c r="C31" s="6">
        <f>COUNTIF('Term mapping'!D2:D68,"Financial add-on")</f>
        <v>8</v>
      </c>
    </row>
    <row r="32" spans="2:3" x14ac:dyDescent="0.25">
      <c r="B32" s="5" t="s">
        <v>38</v>
      </c>
      <c r="C32" s="6">
        <f>COUNTIFS('Term mapping'!D2:D68,"Core",'Term mapping'!E2:E68,"No SASB category")</f>
        <v>21</v>
      </c>
    </row>
    <row r="33" spans="2:3" x14ac:dyDescent="0.25">
      <c r="B33" s="5" t="s">
        <v>39</v>
      </c>
      <c r="C33" s="6">
        <f>AVERAGEIF('Company industries'!H2:H66,"Commercial Banks",'Company industries'!M2:M66)</f>
        <v>16</v>
      </c>
    </row>
    <row r="34" spans="2:3" ht="25.5" x14ac:dyDescent="0.25">
      <c r="B34" s="5" t="s">
        <v>40</v>
      </c>
      <c r="C34" s="6">
        <f>AVERAGEIF('Company industries'!H2:H66,"&lt;&gt;Commercial Banks",'Company industries'!M2:M66)</f>
        <v>10.872340425531915</v>
      </c>
    </row>
    <row r="36" spans="2:3" ht="15.75" x14ac:dyDescent="0.25">
      <c r="B36" s="3" t="s">
        <v>41</v>
      </c>
    </row>
    <row r="37" spans="2:3" ht="51" x14ac:dyDescent="0.25">
      <c r="B37" s="4" t="s">
        <v>42</v>
      </c>
      <c r="C37" s="5" t="s">
        <v>43</v>
      </c>
    </row>
    <row r="38" spans="2:3" ht="51" x14ac:dyDescent="0.25">
      <c r="B38" s="4" t="s">
        <v>44</v>
      </c>
      <c r="C38" s="5" t="s">
        <v>45</v>
      </c>
    </row>
    <row r="39" spans="2:3" ht="51" x14ac:dyDescent="0.25">
      <c r="B39" s="4" t="s">
        <v>46</v>
      </c>
      <c r="C39" s="5" t="s">
        <v>47</v>
      </c>
    </row>
    <row r="40" spans="2:3" ht="25.5" x14ac:dyDescent="0.25">
      <c r="B40" s="4" t="s">
        <v>48</v>
      </c>
      <c r="C40" s="5" t="s">
        <v>49</v>
      </c>
    </row>
    <row r="41" spans="2:3" ht="51" x14ac:dyDescent="0.25">
      <c r="B41" s="4" t="s">
        <v>50</v>
      </c>
      <c r="C41" s="5" t="s">
        <v>51</v>
      </c>
    </row>
    <row r="42" spans="2:3" x14ac:dyDescent="0.25">
      <c r="B42" s="4" t="s">
        <v>52</v>
      </c>
      <c r="C42" s="5" t="s">
        <v>53</v>
      </c>
    </row>
    <row r="44" spans="2:3" ht="15.75" x14ac:dyDescent="0.25">
      <c r="B44" s="3" t="s">
        <v>54</v>
      </c>
    </row>
    <row r="45" spans="2:3" x14ac:dyDescent="0.25">
      <c r="B45" s="4" t="s">
        <v>55</v>
      </c>
      <c r="C45" s="5" t="s">
        <v>56</v>
      </c>
    </row>
    <row r="46" spans="2:3" ht="25.5" x14ac:dyDescent="0.25">
      <c r="B46" s="4" t="s">
        <v>57</v>
      </c>
      <c r="C46" s="5" t="s">
        <v>58</v>
      </c>
    </row>
    <row r="47" spans="2:3" ht="38.25" x14ac:dyDescent="0.25">
      <c r="B47" s="4" t="s">
        <v>14</v>
      </c>
      <c r="C47" s="5" t="s">
        <v>59</v>
      </c>
    </row>
    <row r="48" spans="2:3" ht="38.25" x14ac:dyDescent="0.25">
      <c r="B48" s="4" t="s">
        <v>60</v>
      </c>
      <c r="C48" s="5" t="s">
        <v>61</v>
      </c>
    </row>
    <row r="49" spans="2:3" x14ac:dyDescent="0.25">
      <c r="B49" s="4" t="s">
        <v>62</v>
      </c>
      <c r="C49" s="5" t="s">
        <v>63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6"/>
  <sheetViews>
    <sheetView zoomScaleNormal="100" workbookViewId="0">
      <pane xSplit="2" ySplit="1" topLeftCell="H2" activePane="bottomRight" state="frozen"/>
      <selection pane="topRight" activeCell="C1" sqref="C1"/>
      <selection pane="bottomLeft" activeCell="A2" sqref="A2"/>
      <selection pane="bottomRight" activeCell="K20" sqref="K20"/>
    </sheetView>
  </sheetViews>
  <sheetFormatPr defaultColWidth="8.7109375" defaultRowHeight="15" x14ac:dyDescent="0.25"/>
  <cols>
    <col min="1" max="1" width="5" customWidth="1"/>
    <col min="2" max="2" width="36" customWidth="1"/>
    <col min="3" max="3" width="11" customWidth="1"/>
    <col min="4" max="4" width="15" customWidth="1"/>
    <col min="5" max="5" width="20" customWidth="1"/>
    <col min="6" max="6" width="26.42578125" customWidth="1"/>
    <col min="7" max="7" width="24" customWidth="1"/>
    <col min="8" max="8" width="32" customWidth="1"/>
    <col min="9" max="9" width="44" customWidth="1"/>
    <col min="10" max="10" width="11" customWidth="1"/>
    <col min="11" max="11" width="46" customWidth="1"/>
    <col min="12" max="12" width="13" customWidth="1"/>
    <col min="13" max="13" width="14" customWidth="1"/>
    <col min="14" max="14" width="9" customWidth="1"/>
    <col min="15" max="15" width="32" customWidth="1"/>
    <col min="16" max="16" width="34" customWidth="1"/>
  </cols>
  <sheetData>
    <row r="1" spans="1:16" ht="31.5" customHeight="1" x14ac:dyDescent="0.25">
      <c r="A1" s="7" t="s">
        <v>64</v>
      </c>
      <c r="B1" s="7" t="s">
        <v>65</v>
      </c>
      <c r="C1" s="7" t="s">
        <v>66</v>
      </c>
      <c r="D1" s="7" t="s">
        <v>67</v>
      </c>
      <c r="E1" s="7" t="s">
        <v>68</v>
      </c>
      <c r="F1" s="7" t="s">
        <v>69</v>
      </c>
      <c r="G1" s="7" t="s">
        <v>70</v>
      </c>
      <c r="H1" s="7" t="s">
        <v>71</v>
      </c>
      <c r="I1" s="7" t="s">
        <v>72</v>
      </c>
      <c r="J1" s="7" t="s">
        <v>73</v>
      </c>
      <c r="K1" s="7" t="s">
        <v>74</v>
      </c>
      <c r="L1" s="7" t="s">
        <v>75</v>
      </c>
      <c r="M1" s="7" t="s">
        <v>76</v>
      </c>
      <c r="N1" s="8" t="s">
        <v>21</v>
      </c>
      <c r="O1" s="8" t="s">
        <v>23</v>
      </c>
      <c r="P1" s="8" t="s">
        <v>25</v>
      </c>
    </row>
    <row r="2" spans="1:16" ht="25.5" x14ac:dyDescent="0.25">
      <c r="A2" s="9">
        <v>1</v>
      </c>
      <c r="B2" s="10" t="s">
        <v>77</v>
      </c>
      <c r="C2" s="9" t="s">
        <v>78</v>
      </c>
      <c r="D2" s="9" t="s">
        <v>79</v>
      </c>
      <c r="E2" s="9" t="s">
        <v>80</v>
      </c>
      <c r="F2" s="11" t="s">
        <v>81</v>
      </c>
      <c r="G2" s="9" t="str">
        <f>IFERROR(INDEX('SASB industries'!$A$2:$A$78,MATCH(H2,'SASB industries'!$B$2:$B$78,0)),"check name")</f>
        <v>Extractives &amp; Minerals Processing</v>
      </c>
      <c r="H2" s="9" t="s">
        <v>82</v>
      </c>
      <c r="I2" s="9" t="s">
        <v>83</v>
      </c>
      <c r="J2" s="11" t="s">
        <v>84</v>
      </c>
      <c r="K2" s="9" t="s">
        <v>85</v>
      </c>
      <c r="L2" s="11" t="str">
        <f t="shared" ref="L2:L33" si="0">IF(G2="Financials","Yes","No")</f>
        <v>No</v>
      </c>
      <c r="M2" s="11">
        <f>SUMPRODUCT(('Term mapping'!$D$2:$D$68="Core")*(((COUNTIFS('Industry materiality'!$A$2:$A$169,$H2,'Industry materiality'!$C$2:$C$169,'Term mapping'!$E$2:$E$68)+COUNTIFS('Industry materiality'!$A$2:$A$169,$H2,'Industry materiality'!$C$2:$C$169,'Term mapping'!$F$2:$F$68))&gt;0)*1))</f>
        <v>20</v>
      </c>
      <c r="N2" s="12" t="s">
        <v>89</v>
      </c>
      <c r="O2" s="12"/>
      <c r="P2" s="12"/>
    </row>
    <row r="3" spans="1:16" x14ac:dyDescent="0.25">
      <c r="A3" s="9">
        <v>2</v>
      </c>
      <c r="B3" s="10" t="s">
        <v>86</v>
      </c>
      <c r="C3" s="9" t="s">
        <v>87</v>
      </c>
      <c r="D3" s="9" t="s">
        <v>79</v>
      </c>
      <c r="E3" s="9" t="s">
        <v>88</v>
      </c>
      <c r="F3" s="11" t="s">
        <v>89</v>
      </c>
      <c r="G3" s="9" t="str">
        <f>IFERROR(INDEX('SASB industries'!$A$2:$A$78,MATCH(H3,'SASB industries'!$B$2:$B$78,0)),"check name")</f>
        <v>Financials</v>
      </c>
      <c r="H3" s="9" t="s">
        <v>90</v>
      </c>
      <c r="I3" s="9" t="s">
        <v>91</v>
      </c>
      <c r="J3" s="11" t="s">
        <v>84</v>
      </c>
      <c r="K3" s="9"/>
      <c r="L3" s="11" t="str">
        <f t="shared" si="0"/>
        <v>Yes</v>
      </c>
      <c r="M3" s="11">
        <f>SUMPRODUCT(('Term mapping'!$D$2:$D$68="Core")*(((COUNTIFS('Industry materiality'!$A$2:$A$169,$H3,'Industry materiality'!$C$2:$C$169,'Term mapping'!$E$2:$E$68)+COUNTIFS('Industry materiality'!$A$2:$A$169,$H3,'Industry materiality'!$C$2:$C$169,'Term mapping'!$F$2:$F$68))&gt;0)*1))</f>
        <v>16</v>
      </c>
      <c r="N3" s="12" t="s">
        <v>89</v>
      </c>
      <c r="O3" s="12"/>
      <c r="P3" s="12"/>
    </row>
    <row r="4" spans="1:16" x14ac:dyDescent="0.25">
      <c r="A4" s="9">
        <v>3</v>
      </c>
      <c r="B4" s="10" t="s">
        <v>92</v>
      </c>
      <c r="C4" s="9" t="s">
        <v>93</v>
      </c>
      <c r="D4" s="9" t="s">
        <v>79</v>
      </c>
      <c r="E4" s="9" t="s">
        <v>88</v>
      </c>
      <c r="F4" s="11" t="s">
        <v>89</v>
      </c>
      <c r="G4" s="9" t="str">
        <f>IFERROR(INDEX('SASB industries'!$A$2:$A$78,MATCH(H4,'SASB industries'!$B$2:$B$78,0)),"check name")</f>
        <v>Financials</v>
      </c>
      <c r="H4" s="9" t="s">
        <v>90</v>
      </c>
      <c r="I4" s="9" t="s">
        <v>91</v>
      </c>
      <c r="J4" s="11" t="s">
        <v>84</v>
      </c>
      <c r="K4" s="9"/>
      <c r="L4" s="11" t="str">
        <f t="shared" si="0"/>
        <v>Yes</v>
      </c>
      <c r="M4" s="11">
        <f>SUMPRODUCT(('Term mapping'!$D$2:$D$68="Core")*(((COUNTIFS('Industry materiality'!$A$2:$A$169,$H4,'Industry materiality'!$C$2:$C$169,'Term mapping'!$E$2:$E$68)+COUNTIFS('Industry materiality'!$A$2:$A$169,$H4,'Industry materiality'!$C$2:$C$169,'Term mapping'!$F$2:$F$68))&gt;0)*1))</f>
        <v>16</v>
      </c>
      <c r="N4" s="12" t="s">
        <v>89</v>
      </c>
      <c r="O4" s="12"/>
      <c r="P4" s="12"/>
    </row>
    <row r="5" spans="1:16" ht="25.5" x14ac:dyDescent="0.25">
      <c r="A5" s="9">
        <v>4</v>
      </c>
      <c r="B5" s="10" t="s">
        <v>94</v>
      </c>
      <c r="C5" s="9" t="s">
        <v>95</v>
      </c>
      <c r="D5" s="9" t="s">
        <v>79</v>
      </c>
      <c r="E5" s="9" t="s">
        <v>96</v>
      </c>
      <c r="F5" s="11" t="s">
        <v>81</v>
      </c>
      <c r="G5" s="9" t="str">
        <f>IFERROR(INDEX('SASB industries'!$A$2:$A$78,MATCH(H5,'SASB industries'!$B$2:$B$78,0)),"check name")</f>
        <v>Resource Transformation</v>
      </c>
      <c r="H5" s="9" t="s">
        <v>97</v>
      </c>
      <c r="I5" s="9" t="s">
        <v>98</v>
      </c>
      <c r="J5" s="11" t="s">
        <v>84</v>
      </c>
      <c r="K5" s="9"/>
      <c r="L5" s="11" t="str">
        <f t="shared" si="0"/>
        <v>No</v>
      </c>
      <c r="M5" s="11">
        <f>SUMPRODUCT(('Term mapping'!$D$2:$D$68="Core")*(((COUNTIFS('Industry materiality'!$A$2:$A$169,$H5,'Industry materiality'!$C$2:$C$169,'Term mapping'!$E$2:$E$68)+COUNTIFS('Industry materiality'!$A$2:$A$169,$H5,'Industry materiality'!$C$2:$C$169,'Term mapping'!$F$2:$F$68))&gt;0)*1))</f>
        <v>14</v>
      </c>
      <c r="N5" s="12" t="s">
        <v>89</v>
      </c>
      <c r="O5" s="12"/>
      <c r="P5" s="12"/>
    </row>
    <row r="6" spans="1:16" ht="25.5" x14ac:dyDescent="0.25">
      <c r="A6" s="9">
        <v>5</v>
      </c>
      <c r="B6" s="10" t="s">
        <v>99</v>
      </c>
      <c r="C6" s="9" t="s">
        <v>100</v>
      </c>
      <c r="D6" s="9" t="s">
        <v>79</v>
      </c>
      <c r="E6" s="9" t="s">
        <v>101</v>
      </c>
      <c r="F6" s="11" t="s">
        <v>81</v>
      </c>
      <c r="G6" s="9" t="str">
        <f>IFERROR(INDEX('SASB industries'!$A$2:$A$78,MATCH(H6,'SASB industries'!$B$2:$B$78,0)),"check name")</f>
        <v>Technology &amp; Communications</v>
      </c>
      <c r="H6" s="9" t="s">
        <v>102</v>
      </c>
      <c r="I6" s="9" t="s">
        <v>103</v>
      </c>
      <c r="J6" s="11" t="s">
        <v>84</v>
      </c>
      <c r="K6" s="9"/>
      <c r="L6" s="11" t="str">
        <f t="shared" si="0"/>
        <v>No</v>
      </c>
      <c r="M6" s="11">
        <f>SUMPRODUCT(('Term mapping'!$D$2:$D$68="Core")*(((COUNTIFS('Industry materiality'!$A$2:$A$169,$H6,'Industry materiality'!$C$2:$C$169,'Term mapping'!$E$2:$E$68)+COUNTIFS('Industry materiality'!$A$2:$A$169,$H6,'Industry materiality'!$C$2:$C$169,'Term mapping'!$F$2:$F$68))&gt;0)*1))</f>
        <v>7</v>
      </c>
      <c r="N6" s="12" t="s">
        <v>89</v>
      </c>
      <c r="O6" s="12"/>
      <c r="P6" s="12"/>
    </row>
    <row r="7" spans="1:16" ht="25.5" x14ac:dyDescent="0.25">
      <c r="A7" s="9">
        <v>6</v>
      </c>
      <c r="B7" s="10" t="s">
        <v>104</v>
      </c>
      <c r="C7" s="9" t="s">
        <v>105</v>
      </c>
      <c r="D7" s="9" t="s">
        <v>79</v>
      </c>
      <c r="E7" s="9" t="s">
        <v>96</v>
      </c>
      <c r="F7" s="11" t="s">
        <v>81</v>
      </c>
      <c r="G7" s="9" t="str">
        <f>IFERROR(INDEX('SASB industries'!$A$2:$A$78,MATCH(H7,'SASB industries'!$B$2:$B$78,0)),"check name")</f>
        <v>Extractives &amp; Minerals Processing</v>
      </c>
      <c r="H7" s="9" t="s">
        <v>106</v>
      </c>
      <c r="I7" s="9" t="s">
        <v>107</v>
      </c>
      <c r="J7" s="11" t="s">
        <v>84</v>
      </c>
      <c r="K7" s="9"/>
      <c r="L7" s="11" t="str">
        <f t="shared" si="0"/>
        <v>No</v>
      </c>
      <c r="M7" s="11">
        <f>SUMPRODUCT(('Term mapping'!$D$2:$D$68="Core")*(((COUNTIFS('Industry materiality'!$A$2:$A$169,$H7,'Industry materiality'!$C$2:$C$169,'Term mapping'!$E$2:$E$68)+COUNTIFS('Industry materiality'!$A$2:$A$169,$H7,'Industry materiality'!$C$2:$C$169,'Term mapping'!$F$2:$F$68))&gt;0)*1))</f>
        <v>22</v>
      </c>
      <c r="N7" s="12" t="s">
        <v>89</v>
      </c>
      <c r="O7" s="12"/>
      <c r="P7" s="12"/>
    </row>
    <row r="8" spans="1:16" x14ac:dyDescent="0.25">
      <c r="A8" s="9">
        <v>7</v>
      </c>
      <c r="B8" s="10" t="s">
        <v>108</v>
      </c>
      <c r="C8" s="9" t="s">
        <v>109</v>
      </c>
      <c r="D8" s="9" t="s">
        <v>79</v>
      </c>
      <c r="E8" s="9" t="s">
        <v>88</v>
      </c>
      <c r="F8" s="11" t="s">
        <v>89</v>
      </c>
      <c r="G8" s="9" t="str">
        <f>IFERROR(INDEX('SASB industries'!$A$2:$A$78,MATCH(H8,'SASB industries'!$B$2:$B$78,0)),"check name")</f>
        <v>Financials</v>
      </c>
      <c r="H8" s="9" t="s">
        <v>90</v>
      </c>
      <c r="I8" s="9" t="s">
        <v>91</v>
      </c>
      <c r="J8" s="11" t="s">
        <v>84</v>
      </c>
      <c r="K8" s="9"/>
      <c r="L8" s="11" t="str">
        <f t="shared" si="0"/>
        <v>Yes</v>
      </c>
      <c r="M8" s="11">
        <f>SUMPRODUCT(('Term mapping'!$D$2:$D$68="Core")*(((COUNTIFS('Industry materiality'!$A$2:$A$169,$H8,'Industry materiality'!$C$2:$C$169,'Term mapping'!$E$2:$E$68)+COUNTIFS('Industry materiality'!$A$2:$A$169,$H8,'Industry materiality'!$C$2:$C$169,'Term mapping'!$F$2:$F$68))&gt;0)*1))</f>
        <v>16</v>
      </c>
      <c r="N8" s="12" t="s">
        <v>89</v>
      </c>
      <c r="O8" s="12"/>
      <c r="P8" s="12"/>
    </row>
    <row r="9" spans="1:16" x14ac:dyDescent="0.25">
      <c r="A9" s="9">
        <v>8</v>
      </c>
      <c r="B9" s="10" t="s">
        <v>110</v>
      </c>
      <c r="C9" s="9" t="s">
        <v>111</v>
      </c>
      <c r="D9" s="9" t="s">
        <v>79</v>
      </c>
      <c r="E9" s="9" t="s">
        <v>88</v>
      </c>
      <c r="F9" s="11" t="s">
        <v>89</v>
      </c>
      <c r="G9" s="9" t="str">
        <f>IFERROR(INDEX('SASB industries'!$A$2:$A$78,MATCH(H9,'SASB industries'!$B$2:$B$78,0)),"check name")</f>
        <v>Financials</v>
      </c>
      <c r="H9" s="9" t="s">
        <v>90</v>
      </c>
      <c r="I9" s="9" t="s">
        <v>91</v>
      </c>
      <c r="J9" s="11" t="s">
        <v>84</v>
      </c>
      <c r="K9" s="9"/>
      <c r="L9" s="11" t="str">
        <f t="shared" si="0"/>
        <v>Yes</v>
      </c>
      <c r="M9" s="11">
        <f>SUMPRODUCT(('Term mapping'!$D$2:$D$68="Core")*(((COUNTIFS('Industry materiality'!$A$2:$A$169,$H9,'Industry materiality'!$C$2:$C$169,'Term mapping'!$E$2:$E$68)+COUNTIFS('Industry materiality'!$A$2:$A$169,$H9,'Industry materiality'!$C$2:$C$169,'Term mapping'!$F$2:$F$68))&gt;0)*1))</f>
        <v>16</v>
      </c>
      <c r="N9" s="12" t="s">
        <v>89</v>
      </c>
      <c r="O9" s="12"/>
      <c r="P9" s="12"/>
    </row>
    <row r="10" spans="1:16" ht="25.5" x14ac:dyDescent="0.25">
      <c r="A10" s="9">
        <v>9</v>
      </c>
      <c r="B10" s="10" t="s">
        <v>112</v>
      </c>
      <c r="C10" s="9" t="s">
        <v>113</v>
      </c>
      <c r="D10" s="9" t="s">
        <v>79</v>
      </c>
      <c r="E10" s="9" t="s">
        <v>96</v>
      </c>
      <c r="F10" s="11" t="s">
        <v>81</v>
      </c>
      <c r="G10" s="9" t="str">
        <f>IFERROR(INDEX('SASB industries'!$A$2:$A$78,MATCH(H10,'SASB industries'!$B$2:$B$78,0)),"check name")</f>
        <v>Extractives &amp; Minerals Processing</v>
      </c>
      <c r="H10" s="9" t="s">
        <v>114</v>
      </c>
      <c r="I10" s="9" t="s">
        <v>115</v>
      </c>
      <c r="J10" s="11" t="s">
        <v>84</v>
      </c>
      <c r="K10" s="9"/>
      <c r="L10" s="11" t="str">
        <f t="shared" si="0"/>
        <v>No</v>
      </c>
      <c r="M10" s="11">
        <f>SUMPRODUCT(('Term mapping'!$D$2:$D$68="Core")*(((COUNTIFS('Industry materiality'!$A$2:$A$169,$H10,'Industry materiality'!$C$2:$C$169,'Term mapping'!$E$2:$E$68)+COUNTIFS('Industry materiality'!$A$2:$A$169,$H10,'Industry materiality'!$C$2:$C$169,'Term mapping'!$F$2:$F$68))&gt;0)*1))</f>
        <v>14</v>
      </c>
      <c r="N10" s="12" t="s">
        <v>89</v>
      </c>
      <c r="O10" s="12"/>
      <c r="P10" s="12"/>
    </row>
    <row r="11" spans="1:16" x14ac:dyDescent="0.25">
      <c r="A11" s="9">
        <v>10</v>
      </c>
      <c r="B11" s="10" t="s">
        <v>116</v>
      </c>
      <c r="C11" s="9" t="s">
        <v>117</v>
      </c>
      <c r="D11" s="9" t="s">
        <v>79</v>
      </c>
      <c r="E11" s="9" t="s">
        <v>96</v>
      </c>
      <c r="F11" s="11" t="s">
        <v>81</v>
      </c>
      <c r="G11" s="9" t="str">
        <f>IFERROR(INDEX('SASB industries'!$A$2:$A$78,MATCH(H11,'SASB industries'!$B$2:$B$78,0)),"check name")</f>
        <v>Resource Transformation</v>
      </c>
      <c r="H11" s="9" t="s">
        <v>97</v>
      </c>
      <c r="I11" s="9" t="s">
        <v>118</v>
      </c>
      <c r="J11" s="11" t="s">
        <v>84</v>
      </c>
      <c r="K11" s="9" t="s">
        <v>119</v>
      </c>
      <c r="L11" s="11" t="str">
        <f t="shared" si="0"/>
        <v>No</v>
      </c>
      <c r="M11" s="11">
        <f>SUMPRODUCT(('Term mapping'!$D$2:$D$68="Core")*(((COUNTIFS('Industry materiality'!$A$2:$A$169,$H11,'Industry materiality'!$C$2:$C$169,'Term mapping'!$E$2:$E$68)+COUNTIFS('Industry materiality'!$A$2:$A$169,$H11,'Industry materiality'!$C$2:$C$169,'Term mapping'!$F$2:$F$68))&gt;0)*1))</f>
        <v>14</v>
      </c>
      <c r="N11" s="12" t="s">
        <v>89</v>
      </c>
      <c r="O11" s="12"/>
      <c r="P11" s="12"/>
    </row>
    <row r="12" spans="1:16" x14ac:dyDescent="0.25">
      <c r="A12" s="9">
        <v>11</v>
      </c>
      <c r="B12" s="10" t="s">
        <v>120</v>
      </c>
      <c r="C12" s="9" t="s">
        <v>121</v>
      </c>
      <c r="D12" s="9" t="s">
        <v>79</v>
      </c>
      <c r="E12" s="9" t="s">
        <v>122</v>
      </c>
      <c r="F12" s="11" t="s">
        <v>81</v>
      </c>
      <c r="G12" s="9" t="str">
        <f>IFERROR(INDEX('SASB industries'!$A$2:$A$78,MATCH(H12,'SASB industries'!$B$2:$B$78,0)),"check name")</f>
        <v>Food &amp; Beverage</v>
      </c>
      <c r="H12" s="9" t="s">
        <v>123</v>
      </c>
      <c r="I12" s="9" t="s">
        <v>124</v>
      </c>
      <c r="J12" s="11" t="s">
        <v>125</v>
      </c>
      <c r="K12" s="9" t="s">
        <v>126</v>
      </c>
      <c r="L12" s="11" t="str">
        <f t="shared" si="0"/>
        <v>No</v>
      </c>
      <c r="M12" s="11">
        <f>SUMPRODUCT(('Term mapping'!$D$2:$D$68="Core")*(((COUNTIFS('Industry materiality'!$A$2:$A$169,$H12,'Industry materiality'!$C$2:$C$169,'Term mapping'!$E$2:$E$68)+COUNTIFS('Industry materiality'!$A$2:$A$169,$H12,'Industry materiality'!$C$2:$C$169,'Term mapping'!$F$2:$F$68))&gt;0)*1))</f>
        <v>14</v>
      </c>
      <c r="N12" s="12" t="s">
        <v>89</v>
      </c>
      <c r="O12" s="12"/>
      <c r="P12" s="12"/>
    </row>
    <row r="13" spans="1:16" x14ac:dyDescent="0.25">
      <c r="A13" s="9">
        <v>12</v>
      </c>
      <c r="B13" s="10" t="s">
        <v>127</v>
      </c>
      <c r="C13" s="9" t="s">
        <v>128</v>
      </c>
      <c r="D13" s="9" t="s">
        <v>79</v>
      </c>
      <c r="E13" s="9" t="s">
        <v>88</v>
      </c>
      <c r="F13" s="11" t="s">
        <v>89</v>
      </c>
      <c r="G13" s="9" t="str">
        <f>IFERROR(INDEX('SASB industries'!$A$2:$A$78,MATCH(H13,'SASB industries'!$B$2:$B$78,0)),"check name")</f>
        <v>Financials</v>
      </c>
      <c r="H13" s="9" t="s">
        <v>90</v>
      </c>
      <c r="I13" s="9" t="s">
        <v>91</v>
      </c>
      <c r="J13" s="11" t="s">
        <v>84</v>
      </c>
      <c r="K13" s="9"/>
      <c r="L13" s="11" t="str">
        <f t="shared" si="0"/>
        <v>Yes</v>
      </c>
      <c r="M13" s="11">
        <f>SUMPRODUCT(('Term mapping'!$D$2:$D$68="Core")*(((COUNTIFS('Industry materiality'!$A$2:$A$169,$H13,'Industry materiality'!$C$2:$C$169,'Term mapping'!$E$2:$E$68)+COUNTIFS('Industry materiality'!$A$2:$A$169,$H13,'Industry materiality'!$C$2:$C$169,'Term mapping'!$F$2:$F$68))&gt;0)*1))</f>
        <v>16</v>
      </c>
      <c r="N13" s="12" t="s">
        <v>89</v>
      </c>
      <c r="O13" s="12"/>
      <c r="P13" s="12"/>
    </row>
    <row r="14" spans="1:16" ht="25.5" x14ac:dyDescent="0.25">
      <c r="A14" s="9">
        <v>13</v>
      </c>
      <c r="B14" s="10" t="s">
        <v>129</v>
      </c>
      <c r="C14" s="9" t="s">
        <v>130</v>
      </c>
      <c r="D14" s="9" t="s">
        <v>79</v>
      </c>
      <c r="E14" s="9" t="s">
        <v>101</v>
      </c>
      <c r="F14" s="11" t="s">
        <v>81</v>
      </c>
      <c r="G14" s="9" t="str">
        <f>IFERROR(INDEX('SASB industries'!$A$2:$A$78,MATCH(H14,'SASB industries'!$B$2:$B$78,0)),"check name")</f>
        <v>Technology &amp; Communications</v>
      </c>
      <c r="H14" s="9" t="s">
        <v>102</v>
      </c>
      <c r="I14" s="9" t="s">
        <v>103</v>
      </c>
      <c r="J14" s="11" t="s">
        <v>84</v>
      </c>
      <c r="K14" s="9"/>
      <c r="L14" s="11" t="str">
        <f t="shared" si="0"/>
        <v>No</v>
      </c>
      <c r="M14" s="11">
        <f>SUMPRODUCT(('Term mapping'!$D$2:$D$68="Core")*(((COUNTIFS('Industry materiality'!$A$2:$A$169,$H14,'Industry materiality'!$C$2:$C$169,'Term mapping'!$E$2:$E$68)+COUNTIFS('Industry materiality'!$A$2:$A$169,$H14,'Industry materiality'!$C$2:$C$169,'Term mapping'!$F$2:$F$68))&gt;0)*1))</f>
        <v>7</v>
      </c>
      <c r="N14" s="12" t="s">
        <v>89</v>
      </c>
      <c r="O14" s="12"/>
      <c r="P14" s="12"/>
    </row>
    <row r="15" spans="1:16" ht="25.5" x14ac:dyDescent="0.25">
      <c r="A15" s="9">
        <v>14</v>
      </c>
      <c r="B15" s="10" t="s">
        <v>131</v>
      </c>
      <c r="C15" s="9" t="s">
        <v>132</v>
      </c>
      <c r="D15" s="9" t="s">
        <v>79</v>
      </c>
      <c r="E15" s="9" t="s">
        <v>122</v>
      </c>
      <c r="F15" s="11" t="s">
        <v>81</v>
      </c>
      <c r="G15" s="9" t="str">
        <f>IFERROR(INDEX('SASB industries'!$A$2:$A$78,MATCH(H15,'SASB industries'!$B$2:$B$78,0)),"check name")</f>
        <v>Food &amp; Beverage</v>
      </c>
      <c r="H15" s="9" t="s">
        <v>133</v>
      </c>
      <c r="I15" s="9" t="s">
        <v>134</v>
      </c>
      <c r="J15" s="11" t="s">
        <v>125</v>
      </c>
      <c r="K15" s="9" t="s">
        <v>135</v>
      </c>
      <c r="L15" s="11" t="str">
        <f t="shared" si="0"/>
        <v>No</v>
      </c>
      <c r="M15" s="11">
        <f>SUMPRODUCT(('Term mapping'!$D$2:$D$68="Core")*(((COUNTIFS('Industry materiality'!$A$2:$A$169,$H15,'Industry materiality'!$C$2:$C$169,'Term mapping'!$E$2:$E$68)+COUNTIFS('Industry materiality'!$A$2:$A$169,$H15,'Industry materiality'!$C$2:$C$169,'Term mapping'!$F$2:$F$68))&gt;0)*1))</f>
        <v>5</v>
      </c>
      <c r="N15" s="12" t="s">
        <v>89</v>
      </c>
      <c r="O15" s="12"/>
      <c r="P15" s="12"/>
    </row>
    <row r="16" spans="1:16" x14ac:dyDescent="0.25">
      <c r="A16" s="9">
        <v>15</v>
      </c>
      <c r="B16" s="10" t="s">
        <v>136</v>
      </c>
      <c r="C16" s="9" t="s">
        <v>137</v>
      </c>
      <c r="D16" s="9" t="s">
        <v>79</v>
      </c>
      <c r="E16" s="9" t="s">
        <v>96</v>
      </c>
      <c r="F16" s="11" t="s">
        <v>81</v>
      </c>
      <c r="G16" s="9" t="str">
        <f>IFERROR(INDEX('SASB industries'!$A$2:$A$78,MATCH(H16,'SASB industries'!$B$2:$B$78,0)),"check name")</f>
        <v>Resource Transformation</v>
      </c>
      <c r="H16" s="9" t="s">
        <v>97</v>
      </c>
      <c r="I16" s="9" t="s">
        <v>138</v>
      </c>
      <c r="J16" s="11" t="s">
        <v>84</v>
      </c>
      <c r="K16" s="9"/>
      <c r="L16" s="11" t="str">
        <f t="shared" si="0"/>
        <v>No</v>
      </c>
      <c r="M16" s="11">
        <f>SUMPRODUCT(('Term mapping'!$D$2:$D$68="Core")*(((COUNTIFS('Industry materiality'!$A$2:$A$169,$H16,'Industry materiality'!$C$2:$C$169,'Term mapping'!$E$2:$E$68)+COUNTIFS('Industry materiality'!$A$2:$A$169,$H16,'Industry materiality'!$C$2:$C$169,'Term mapping'!$F$2:$F$68))&gt;0)*1))</f>
        <v>14</v>
      </c>
      <c r="N16" s="12" t="s">
        <v>89</v>
      </c>
      <c r="O16" s="12"/>
      <c r="P16" s="12"/>
    </row>
    <row r="17" spans="1:16" ht="25.5" x14ac:dyDescent="0.25">
      <c r="A17" s="9">
        <v>16</v>
      </c>
      <c r="B17" s="10" t="s">
        <v>139</v>
      </c>
      <c r="C17" s="9" t="s">
        <v>140</v>
      </c>
      <c r="D17" s="9" t="s">
        <v>79</v>
      </c>
      <c r="E17" s="9" t="s">
        <v>141</v>
      </c>
      <c r="F17" s="11" t="s">
        <v>81</v>
      </c>
      <c r="G17" s="9" t="str">
        <f>IFERROR(INDEX('SASB industries'!$A$2:$A$78,MATCH(H17,'SASB industries'!$B$2:$B$78,0)),"check name")</f>
        <v>Infrastructure</v>
      </c>
      <c r="H17" s="9" t="s">
        <v>142</v>
      </c>
      <c r="I17" s="9" t="s">
        <v>143</v>
      </c>
      <c r="J17" s="11" t="s">
        <v>125</v>
      </c>
      <c r="K17" s="9" t="s">
        <v>144</v>
      </c>
      <c r="L17" s="11" t="str">
        <f t="shared" si="0"/>
        <v>No</v>
      </c>
      <c r="M17" s="11">
        <f>SUMPRODUCT(('Term mapping'!$D$2:$D$68="Core")*(((COUNTIFS('Industry materiality'!$A$2:$A$169,$H17,'Industry materiality'!$C$2:$C$169,'Term mapping'!$E$2:$E$68)+COUNTIFS('Industry materiality'!$A$2:$A$169,$H17,'Industry materiality'!$C$2:$C$169,'Term mapping'!$F$2:$F$68))&gt;0)*1))</f>
        <v>10</v>
      </c>
      <c r="N17" s="12" t="s">
        <v>89</v>
      </c>
      <c r="O17" s="12"/>
      <c r="P17" s="12"/>
    </row>
    <row r="18" spans="1:16" x14ac:dyDescent="0.25">
      <c r="A18" s="9">
        <v>17</v>
      </c>
      <c r="B18" s="10" t="s">
        <v>145</v>
      </c>
      <c r="C18" s="9" t="s">
        <v>146</v>
      </c>
      <c r="D18" s="9" t="s">
        <v>79</v>
      </c>
      <c r="E18" s="9" t="s">
        <v>96</v>
      </c>
      <c r="F18" s="11" t="s">
        <v>81</v>
      </c>
      <c r="G18" s="9" t="str">
        <f>IFERROR(INDEX('SASB industries'!$A$2:$A$78,MATCH(H18,'SASB industries'!$B$2:$B$78,0)),"check name")</f>
        <v>Resource Transformation</v>
      </c>
      <c r="H18" s="9" t="s">
        <v>97</v>
      </c>
      <c r="I18" s="9" t="s">
        <v>147</v>
      </c>
      <c r="J18" s="11" t="s">
        <v>84</v>
      </c>
      <c r="K18" s="9"/>
      <c r="L18" s="11" t="str">
        <f t="shared" si="0"/>
        <v>No</v>
      </c>
      <c r="M18" s="11">
        <f>SUMPRODUCT(('Term mapping'!$D$2:$D$68="Core")*(((COUNTIFS('Industry materiality'!$A$2:$A$169,$H18,'Industry materiality'!$C$2:$C$169,'Term mapping'!$E$2:$E$68)+COUNTIFS('Industry materiality'!$A$2:$A$169,$H18,'Industry materiality'!$C$2:$C$169,'Term mapping'!$F$2:$F$68))&gt;0)*1))</f>
        <v>14</v>
      </c>
      <c r="N18" s="12" t="s">
        <v>89</v>
      </c>
      <c r="O18" s="12"/>
      <c r="P18" s="12"/>
    </row>
    <row r="19" spans="1:16" ht="25.5" x14ac:dyDescent="0.25">
      <c r="A19" s="9">
        <v>18</v>
      </c>
      <c r="B19" s="10" t="s">
        <v>148</v>
      </c>
      <c r="C19" s="9" t="s">
        <v>149</v>
      </c>
      <c r="D19" s="9" t="s">
        <v>79</v>
      </c>
      <c r="E19" s="9" t="s">
        <v>150</v>
      </c>
      <c r="F19" s="11" t="s">
        <v>81</v>
      </c>
      <c r="G19" s="9" t="str">
        <f>IFERROR(INDEX('SASB industries'!$A$2:$A$78,MATCH(H19,'SASB industries'!$B$2:$B$78,0)),"check name")</f>
        <v>Health Care</v>
      </c>
      <c r="H19" s="9" t="s">
        <v>151</v>
      </c>
      <c r="I19" s="9" t="s">
        <v>152</v>
      </c>
      <c r="J19" s="11" t="s">
        <v>84</v>
      </c>
      <c r="K19" s="9"/>
      <c r="L19" s="11" t="str">
        <f t="shared" si="0"/>
        <v>No</v>
      </c>
      <c r="M19" s="11">
        <f>SUMPRODUCT(('Term mapping'!$D$2:$D$68="Core")*(((COUNTIFS('Industry materiality'!$A$2:$A$169,$H19,'Industry materiality'!$C$2:$C$169,'Term mapping'!$E$2:$E$68)+COUNTIFS('Industry materiality'!$A$2:$A$169,$H19,'Industry materiality'!$C$2:$C$169,'Term mapping'!$F$2:$F$68))&gt;0)*1))</f>
        <v>18</v>
      </c>
      <c r="N19" s="12" t="s">
        <v>89</v>
      </c>
      <c r="O19" s="12"/>
      <c r="P19" s="12"/>
    </row>
    <row r="20" spans="1:16" ht="25.5" x14ac:dyDescent="0.25">
      <c r="A20" s="9">
        <v>19</v>
      </c>
      <c r="B20" s="10" t="s">
        <v>153</v>
      </c>
      <c r="C20" s="9" t="s">
        <v>154</v>
      </c>
      <c r="D20" s="9" t="s">
        <v>79</v>
      </c>
      <c r="E20" s="9" t="s">
        <v>155</v>
      </c>
      <c r="F20" s="11" t="s">
        <v>81</v>
      </c>
      <c r="G20" s="9" t="str">
        <f>IFERROR(INDEX('SASB industries'!$A$2:$A$78,MATCH(H20,'SASB industries'!$B$2:$B$78,0)),"check name")</f>
        <v>Food &amp; Beverage</v>
      </c>
      <c r="H20" s="9" t="s">
        <v>156</v>
      </c>
      <c r="I20" s="9" t="s">
        <v>157</v>
      </c>
      <c r="J20" s="13" t="s">
        <v>158</v>
      </c>
      <c r="K20" s="9" t="s">
        <v>159</v>
      </c>
      <c r="L20" s="11" t="str">
        <f t="shared" si="0"/>
        <v>No</v>
      </c>
      <c r="M20" s="11">
        <f>SUMPRODUCT(('Term mapping'!$D$2:$D$68="Core")*(((COUNTIFS('Industry materiality'!$A$2:$A$169,$H20,'Industry materiality'!$C$2:$C$169,'Term mapping'!$E$2:$E$68)+COUNTIFS('Industry materiality'!$A$2:$A$169,$H20,'Industry materiality'!$C$2:$C$169,'Term mapping'!$F$2:$F$68))&gt;0)*1))</f>
        <v>7</v>
      </c>
      <c r="N20" s="12" t="s">
        <v>89</v>
      </c>
      <c r="O20" s="12"/>
      <c r="P20" s="12"/>
    </row>
    <row r="21" spans="1:16" x14ac:dyDescent="0.25">
      <c r="A21" s="9">
        <v>20</v>
      </c>
      <c r="B21" s="10" t="s">
        <v>160</v>
      </c>
      <c r="C21" s="9" t="s">
        <v>161</v>
      </c>
      <c r="D21" s="9" t="s">
        <v>79</v>
      </c>
      <c r="E21" s="9" t="s">
        <v>96</v>
      </c>
      <c r="F21" s="11" t="s">
        <v>81</v>
      </c>
      <c r="G21" s="9" t="str">
        <f>IFERROR(INDEX('SASB industries'!$A$2:$A$78,MATCH(H21,'SASB industries'!$B$2:$B$78,0)),"check name")</f>
        <v>Resource Transformation</v>
      </c>
      <c r="H21" s="9" t="s">
        <v>97</v>
      </c>
      <c r="I21" s="9" t="s">
        <v>162</v>
      </c>
      <c r="J21" s="11" t="s">
        <v>84</v>
      </c>
      <c r="K21" s="9"/>
      <c r="L21" s="11" t="str">
        <f t="shared" si="0"/>
        <v>No</v>
      </c>
      <c r="M21" s="11">
        <f>SUMPRODUCT(('Term mapping'!$D$2:$D$68="Core")*(((COUNTIFS('Industry materiality'!$A$2:$A$169,$H21,'Industry materiality'!$C$2:$C$169,'Term mapping'!$E$2:$E$68)+COUNTIFS('Industry materiality'!$A$2:$A$169,$H21,'Industry materiality'!$C$2:$C$169,'Term mapping'!$F$2:$F$68))&gt;0)*1))</f>
        <v>14</v>
      </c>
      <c r="N21" s="12" t="s">
        <v>89</v>
      </c>
      <c r="O21" s="12"/>
      <c r="P21" s="12"/>
    </row>
    <row r="22" spans="1:16" ht="25.5" x14ac:dyDescent="0.25">
      <c r="A22" s="9">
        <v>21</v>
      </c>
      <c r="B22" s="10" t="s">
        <v>163</v>
      </c>
      <c r="C22" s="9" t="s">
        <v>164</v>
      </c>
      <c r="D22" s="9" t="s">
        <v>79</v>
      </c>
      <c r="E22" s="9" t="s">
        <v>96</v>
      </c>
      <c r="F22" s="11" t="s">
        <v>81</v>
      </c>
      <c r="G22" s="9" t="str">
        <f>IFERROR(INDEX('SASB industries'!$A$2:$A$78,MATCH(H22,'SASB industries'!$B$2:$B$78,0)),"check name")</f>
        <v>Extractives &amp; Minerals Processing</v>
      </c>
      <c r="H22" s="9" t="s">
        <v>165</v>
      </c>
      <c r="I22" s="9" t="s">
        <v>166</v>
      </c>
      <c r="J22" s="11" t="s">
        <v>125</v>
      </c>
      <c r="K22" s="9" t="s">
        <v>167</v>
      </c>
      <c r="L22" s="11" t="str">
        <f t="shared" si="0"/>
        <v>No</v>
      </c>
      <c r="M22" s="11">
        <f>SUMPRODUCT(('Term mapping'!$D$2:$D$68="Core")*(((COUNTIFS('Industry materiality'!$A$2:$A$169,$H22,'Industry materiality'!$C$2:$C$169,'Term mapping'!$E$2:$E$68)+COUNTIFS('Industry materiality'!$A$2:$A$169,$H22,'Industry materiality'!$C$2:$C$169,'Term mapping'!$F$2:$F$68))&gt;0)*1))</f>
        <v>10</v>
      </c>
      <c r="N22" s="12" t="s">
        <v>89</v>
      </c>
      <c r="O22" s="12"/>
      <c r="P22" s="12"/>
    </row>
    <row r="23" spans="1:16" ht="25.5" x14ac:dyDescent="0.25">
      <c r="A23" s="9">
        <v>22</v>
      </c>
      <c r="B23" s="10" t="s">
        <v>168</v>
      </c>
      <c r="C23" s="9" t="s">
        <v>169</v>
      </c>
      <c r="D23" s="9" t="s">
        <v>79</v>
      </c>
      <c r="E23" s="9" t="s">
        <v>96</v>
      </c>
      <c r="F23" s="11" t="s">
        <v>81</v>
      </c>
      <c r="G23" s="9" t="str">
        <f>IFERROR(INDEX('SASB industries'!$A$2:$A$78,MATCH(H23,'SASB industries'!$B$2:$B$78,0)),"check name")</f>
        <v>Resource Transformation</v>
      </c>
      <c r="H23" s="9" t="s">
        <v>97</v>
      </c>
      <c r="I23" s="9" t="s">
        <v>138</v>
      </c>
      <c r="J23" s="11" t="s">
        <v>84</v>
      </c>
      <c r="K23" s="9"/>
      <c r="L23" s="11" t="str">
        <f t="shared" si="0"/>
        <v>No</v>
      </c>
      <c r="M23" s="11">
        <f>SUMPRODUCT(('Term mapping'!$D$2:$D$68="Core")*(((COUNTIFS('Industry materiality'!$A$2:$A$169,$H23,'Industry materiality'!$C$2:$C$169,'Term mapping'!$E$2:$E$68)+COUNTIFS('Industry materiality'!$A$2:$A$169,$H23,'Industry materiality'!$C$2:$C$169,'Term mapping'!$F$2:$F$68))&gt;0)*1))</f>
        <v>14</v>
      </c>
      <c r="N23" s="12" t="s">
        <v>89</v>
      </c>
      <c r="O23" s="12"/>
      <c r="P23" s="12"/>
    </row>
    <row r="24" spans="1:16" ht="25.5" x14ac:dyDescent="0.25">
      <c r="A24" s="9">
        <v>23</v>
      </c>
      <c r="B24" s="10" t="s">
        <v>170</v>
      </c>
      <c r="C24" s="9" t="s">
        <v>171</v>
      </c>
      <c r="D24" s="9" t="s">
        <v>79</v>
      </c>
      <c r="E24" s="9" t="s">
        <v>101</v>
      </c>
      <c r="F24" s="11" t="s">
        <v>81</v>
      </c>
      <c r="G24" s="9" t="str">
        <f>IFERROR(INDEX('SASB industries'!$A$2:$A$78,MATCH(H24,'SASB industries'!$B$2:$B$78,0)),"check name")</f>
        <v>Technology &amp; Communications</v>
      </c>
      <c r="H24" s="9" t="s">
        <v>102</v>
      </c>
      <c r="I24" s="9" t="s">
        <v>103</v>
      </c>
      <c r="J24" s="11" t="s">
        <v>84</v>
      </c>
      <c r="K24" s="9"/>
      <c r="L24" s="11" t="str">
        <f t="shared" si="0"/>
        <v>No</v>
      </c>
      <c r="M24" s="11">
        <f>SUMPRODUCT(('Term mapping'!$D$2:$D$68="Core")*(((COUNTIFS('Industry materiality'!$A$2:$A$169,$H24,'Industry materiality'!$C$2:$C$169,'Term mapping'!$E$2:$E$68)+COUNTIFS('Industry materiality'!$A$2:$A$169,$H24,'Industry materiality'!$C$2:$C$169,'Term mapping'!$F$2:$F$68))&gt;0)*1))</f>
        <v>7</v>
      </c>
      <c r="N24" s="12" t="s">
        <v>89</v>
      </c>
      <c r="O24" s="12"/>
      <c r="P24" s="12"/>
    </row>
    <row r="25" spans="1:16" ht="25.5" x14ac:dyDescent="0.25">
      <c r="A25" s="9">
        <v>24</v>
      </c>
      <c r="B25" s="10" t="s">
        <v>172</v>
      </c>
      <c r="C25" s="9" t="s">
        <v>173</v>
      </c>
      <c r="D25" s="9" t="s">
        <v>79</v>
      </c>
      <c r="E25" s="9" t="s">
        <v>174</v>
      </c>
      <c r="F25" s="11" t="s">
        <v>81</v>
      </c>
      <c r="G25" s="9" t="str">
        <f>IFERROR(INDEX('SASB industries'!$A$2:$A$78,MATCH(H25,'SASB industries'!$B$2:$B$78,0)),"check name")</f>
        <v>Consumer Goods</v>
      </c>
      <c r="H25" s="9" t="s">
        <v>175</v>
      </c>
      <c r="I25" s="9" t="s">
        <v>176</v>
      </c>
      <c r="J25" s="11" t="s">
        <v>84</v>
      </c>
      <c r="K25" s="9"/>
      <c r="L25" s="11" t="str">
        <f t="shared" si="0"/>
        <v>No</v>
      </c>
      <c r="M25" s="11">
        <f>SUMPRODUCT(('Term mapping'!$D$2:$D$68="Core")*(((COUNTIFS('Industry materiality'!$A$2:$A$169,$H25,'Industry materiality'!$C$2:$C$169,'Term mapping'!$E$2:$E$68)+COUNTIFS('Industry materiality'!$A$2:$A$169,$H25,'Industry materiality'!$C$2:$C$169,'Term mapping'!$F$2:$F$68))&gt;0)*1))</f>
        <v>11</v>
      </c>
      <c r="N25" s="12" t="s">
        <v>89</v>
      </c>
      <c r="O25" s="12"/>
      <c r="P25" s="12"/>
    </row>
    <row r="26" spans="1:16" ht="25.5" x14ac:dyDescent="0.25">
      <c r="A26" s="9">
        <v>25</v>
      </c>
      <c r="B26" s="10" t="s">
        <v>177</v>
      </c>
      <c r="C26" s="9" t="s">
        <v>178</v>
      </c>
      <c r="D26" s="9" t="s">
        <v>79</v>
      </c>
      <c r="E26" s="9" t="s">
        <v>96</v>
      </c>
      <c r="F26" s="11" t="s">
        <v>81</v>
      </c>
      <c r="G26" s="9" t="str">
        <f>IFERROR(INDEX('SASB industries'!$A$2:$A$78,MATCH(H26,'SASB industries'!$B$2:$B$78,0)),"check name")</f>
        <v>Extractives &amp; Minerals Processing</v>
      </c>
      <c r="H26" s="9" t="s">
        <v>114</v>
      </c>
      <c r="I26" s="9" t="s">
        <v>115</v>
      </c>
      <c r="J26" s="11" t="s">
        <v>84</v>
      </c>
      <c r="K26" s="9"/>
      <c r="L26" s="11" t="str">
        <f t="shared" si="0"/>
        <v>No</v>
      </c>
      <c r="M26" s="11">
        <f>SUMPRODUCT(('Term mapping'!$D$2:$D$68="Core")*(((COUNTIFS('Industry materiality'!$A$2:$A$169,$H26,'Industry materiality'!$C$2:$C$169,'Term mapping'!$E$2:$E$68)+COUNTIFS('Industry materiality'!$A$2:$A$169,$H26,'Industry materiality'!$C$2:$C$169,'Term mapping'!$F$2:$F$68))&gt;0)*1))</f>
        <v>14</v>
      </c>
      <c r="N26" s="12" t="s">
        <v>89</v>
      </c>
      <c r="O26" s="12"/>
      <c r="P26" s="12"/>
    </row>
    <row r="27" spans="1:16" x14ac:dyDescent="0.25">
      <c r="A27" s="9">
        <v>26</v>
      </c>
      <c r="B27" s="10" t="s">
        <v>179</v>
      </c>
      <c r="C27" s="9" t="s">
        <v>180</v>
      </c>
      <c r="D27" s="9" t="s">
        <v>79</v>
      </c>
      <c r="E27" s="9" t="s">
        <v>122</v>
      </c>
      <c r="F27" s="11" t="s">
        <v>81</v>
      </c>
      <c r="G27" s="9" t="str">
        <f>IFERROR(INDEX('SASB industries'!$A$2:$A$78,MATCH(H27,'SASB industries'!$B$2:$B$78,0)),"check name")</f>
        <v>Food &amp; Beverage</v>
      </c>
      <c r="H27" s="9" t="s">
        <v>181</v>
      </c>
      <c r="I27" s="9" t="s">
        <v>182</v>
      </c>
      <c r="J27" s="11" t="s">
        <v>84</v>
      </c>
      <c r="K27" s="9"/>
      <c r="L27" s="11" t="str">
        <f t="shared" si="0"/>
        <v>No</v>
      </c>
      <c r="M27" s="11">
        <f>SUMPRODUCT(('Term mapping'!$D$2:$D$68="Core")*(((COUNTIFS('Industry materiality'!$A$2:$A$169,$H27,'Industry materiality'!$C$2:$C$169,'Term mapping'!$E$2:$E$68)+COUNTIFS('Industry materiality'!$A$2:$A$169,$H27,'Industry materiality'!$C$2:$C$169,'Term mapping'!$F$2:$F$68))&gt;0)*1))</f>
        <v>15</v>
      </c>
      <c r="N27" s="12" t="s">
        <v>89</v>
      </c>
      <c r="O27" s="12"/>
      <c r="P27" s="12"/>
    </row>
    <row r="28" spans="1:16" ht="25.5" x14ac:dyDescent="0.25">
      <c r="A28" s="9">
        <v>27</v>
      </c>
      <c r="B28" s="10" t="s">
        <v>183</v>
      </c>
      <c r="C28" s="9" t="s">
        <v>184</v>
      </c>
      <c r="D28" s="9" t="s">
        <v>79</v>
      </c>
      <c r="E28" s="9" t="s">
        <v>88</v>
      </c>
      <c r="F28" s="11" t="s">
        <v>89</v>
      </c>
      <c r="G28" s="9" t="str">
        <f>IFERROR(INDEX('SASB industries'!$A$2:$A$78,MATCH(H28,'SASB industries'!$B$2:$B$78,0)),"check name")</f>
        <v>Resource Transformation</v>
      </c>
      <c r="H28" s="9" t="s">
        <v>97</v>
      </c>
      <c r="I28" s="9" t="s">
        <v>185</v>
      </c>
      <c r="J28" s="11" t="s">
        <v>125</v>
      </c>
      <c r="K28" s="14" t="s">
        <v>186</v>
      </c>
      <c r="L28" s="11" t="str">
        <f t="shared" si="0"/>
        <v>No</v>
      </c>
      <c r="M28" s="11">
        <f>SUMPRODUCT(('Term mapping'!$D$2:$D$68="Core")*(((COUNTIFS('Industry materiality'!$A$2:$A$169,$H28,'Industry materiality'!$C$2:$C$169,'Term mapping'!$E$2:$E$68)+COUNTIFS('Industry materiality'!$A$2:$A$169,$H28,'Industry materiality'!$C$2:$C$169,'Term mapping'!$F$2:$F$68))&gt;0)*1))</f>
        <v>14</v>
      </c>
      <c r="N28" s="12" t="s">
        <v>89</v>
      </c>
      <c r="O28" s="12"/>
      <c r="P28" s="12"/>
    </row>
    <row r="29" spans="1:16" ht="25.5" x14ac:dyDescent="0.25">
      <c r="A29" s="9">
        <v>28</v>
      </c>
      <c r="B29" s="10" t="s">
        <v>187</v>
      </c>
      <c r="C29" s="9" t="s">
        <v>188</v>
      </c>
      <c r="D29" s="9" t="s">
        <v>189</v>
      </c>
      <c r="E29" s="9" t="s">
        <v>80</v>
      </c>
      <c r="F29" s="11" t="s">
        <v>81</v>
      </c>
      <c r="G29" s="9" t="str">
        <f>IFERROR(INDEX('SASB industries'!$A$2:$A$78,MATCH(H29,'SASB industries'!$B$2:$B$78,0)),"check name")</f>
        <v>Extractives &amp; Minerals Processing</v>
      </c>
      <c r="H29" s="9" t="s">
        <v>165</v>
      </c>
      <c r="I29" s="9" t="s">
        <v>190</v>
      </c>
      <c r="J29" s="11" t="s">
        <v>84</v>
      </c>
      <c r="K29" s="9" t="s">
        <v>191</v>
      </c>
      <c r="L29" s="11" t="str">
        <f t="shared" si="0"/>
        <v>No</v>
      </c>
      <c r="M29" s="11">
        <f>SUMPRODUCT(('Term mapping'!$D$2:$D$68="Core")*(((COUNTIFS('Industry materiality'!$A$2:$A$169,$H29,'Industry materiality'!$C$2:$C$169,'Term mapping'!$E$2:$E$68)+COUNTIFS('Industry materiality'!$A$2:$A$169,$H29,'Industry materiality'!$C$2:$C$169,'Term mapping'!$F$2:$F$68))&gt;0)*1))</f>
        <v>10</v>
      </c>
      <c r="N29" s="12" t="s">
        <v>89</v>
      </c>
      <c r="O29" s="12"/>
      <c r="P29" s="12"/>
    </row>
    <row r="30" spans="1:16" ht="25.5" x14ac:dyDescent="0.25">
      <c r="A30" s="9">
        <v>29</v>
      </c>
      <c r="B30" s="10" t="s">
        <v>192</v>
      </c>
      <c r="C30" s="9" t="s">
        <v>193</v>
      </c>
      <c r="D30" s="9" t="s">
        <v>189</v>
      </c>
      <c r="E30" s="9" t="s">
        <v>101</v>
      </c>
      <c r="F30" s="11" t="s">
        <v>81</v>
      </c>
      <c r="G30" s="9" t="str">
        <f>IFERROR(INDEX('SASB industries'!$A$2:$A$78,MATCH(H30,'SASB industries'!$B$2:$B$78,0)),"check name")</f>
        <v>Technology &amp; Communications</v>
      </c>
      <c r="H30" s="9" t="s">
        <v>102</v>
      </c>
      <c r="I30" s="9" t="s">
        <v>103</v>
      </c>
      <c r="J30" s="11" t="s">
        <v>84</v>
      </c>
      <c r="K30" s="9"/>
      <c r="L30" s="11" t="str">
        <f t="shared" si="0"/>
        <v>No</v>
      </c>
      <c r="M30" s="11">
        <f>SUMPRODUCT(('Term mapping'!$D$2:$D$68="Core")*(((COUNTIFS('Industry materiality'!$A$2:$A$169,$H30,'Industry materiality'!$C$2:$C$169,'Term mapping'!$E$2:$E$68)+COUNTIFS('Industry materiality'!$A$2:$A$169,$H30,'Industry materiality'!$C$2:$C$169,'Term mapping'!$F$2:$F$68))&gt;0)*1))</f>
        <v>7</v>
      </c>
      <c r="N30" s="12" t="s">
        <v>89</v>
      </c>
      <c r="O30" s="12"/>
      <c r="P30" s="12"/>
    </row>
    <row r="31" spans="1:16" ht="25.5" x14ac:dyDescent="0.25">
      <c r="A31" s="9">
        <v>30</v>
      </c>
      <c r="B31" s="10" t="s">
        <v>194</v>
      </c>
      <c r="C31" s="9" t="s">
        <v>195</v>
      </c>
      <c r="D31" s="9" t="s">
        <v>189</v>
      </c>
      <c r="E31" s="9" t="s">
        <v>88</v>
      </c>
      <c r="F31" s="11" t="s">
        <v>89</v>
      </c>
      <c r="G31" s="9" t="str">
        <f>IFERROR(INDEX('SASB industries'!$A$2:$A$78,MATCH(H31,'SASB industries'!$B$2:$B$78,0)),"check name")</f>
        <v>Financials</v>
      </c>
      <c r="H31" s="9" t="s">
        <v>90</v>
      </c>
      <c r="I31" s="9" t="s">
        <v>91</v>
      </c>
      <c r="J31" s="11" t="s">
        <v>84</v>
      </c>
      <c r="K31" s="9"/>
      <c r="L31" s="11" t="str">
        <f t="shared" si="0"/>
        <v>Yes</v>
      </c>
      <c r="M31" s="11">
        <f>SUMPRODUCT(('Term mapping'!$D$2:$D$68="Core")*(((COUNTIFS('Industry materiality'!$A$2:$A$169,$H31,'Industry materiality'!$C$2:$C$169,'Term mapping'!$E$2:$E$68)+COUNTIFS('Industry materiality'!$A$2:$A$169,$H31,'Industry materiality'!$C$2:$C$169,'Term mapping'!$F$2:$F$68))&gt;0)*1))</f>
        <v>16</v>
      </c>
      <c r="N31" s="12" t="s">
        <v>89</v>
      </c>
      <c r="O31" s="12"/>
      <c r="P31" s="12"/>
    </row>
    <row r="32" spans="1:16" ht="25.5" x14ac:dyDescent="0.25">
      <c r="A32" s="9">
        <v>31</v>
      </c>
      <c r="B32" s="10" t="s">
        <v>196</v>
      </c>
      <c r="C32" s="9" t="s">
        <v>197</v>
      </c>
      <c r="D32" s="9" t="s">
        <v>189</v>
      </c>
      <c r="E32" s="9" t="s">
        <v>80</v>
      </c>
      <c r="F32" s="11" t="s">
        <v>81</v>
      </c>
      <c r="G32" s="9" t="str">
        <f>IFERROR(INDEX('SASB industries'!$A$2:$A$78,MATCH(H32,'SASB industries'!$B$2:$B$78,0)),"check name")</f>
        <v>Infrastructure</v>
      </c>
      <c r="H32" s="9" t="s">
        <v>198</v>
      </c>
      <c r="I32" s="9" t="s">
        <v>199</v>
      </c>
      <c r="J32" s="11" t="s">
        <v>84</v>
      </c>
      <c r="K32" s="9"/>
      <c r="L32" s="11" t="str">
        <f t="shared" si="0"/>
        <v>No</v>
      </c>
      <c r="M32" s="11">
        <f>SUMPRODUCT(('Term mapping'!$D$2:$D$68="Core")*(((COUNTIFS('Industry materiality'!$A$2:$A$169,$H32,'Industry materiality'!$C$2:$C$169,'Term mapping'!$E$2:$E$68)+COUNTIFS('Industry materiality'!$A$2:$A$169,$H32,'Industry materiality'!$C$2:$C$169,'Term mapping'!$F$2:$F$68))&gt;0)*1))</f>
        <v>12</v>
      </c>
      <c r="N32" s="12" t="s">
        <v>89</v>
      </c>
      <c r="O32" s="12"/>
      <c r="P32" s="12"/>
    </row>
    <row r="33" spans="1:16" ht="25.5" x14ac:dyDescent="0.25">
      <c r="A33" s="9">
        <v>32</v>
      </c>
      <c r="B33" s="10" t="s">
        <v>200</v>
      </c>
      <c r="C33" s="9" t="s">
        <v>201</v>
      </c>
      <c r="D33" s="9" t="s">
        <v>189</v>
      </c>
      <c r="E33" s="9" t="s">
        <v>88</v>
      </c>
      <c r="F33" s="11" t="s">
        <v>89</v>
      </c>
      <c r="G33" s="9" t="str">
        <f>IFERROR(INDEX('SASB industries'!$A$2:$A$78,MATCH(H33,'SASB industries'!$B$2:$B$78,0)),"check name")</f>
        <v>Financials</v>
      </c>
      <c r="H33" s="9" t="s">
        <v>90</v>
      </c>
      <c r="I33" s="9" t="s">
        <v>91</v>
      </c>
      <c r="J33" s="11" t="s">
        <v>84</v>
      </c>
      <c r="K33" s="9"/>
      <c r="L33" s="11" t="str">
        <f t="shared" si="0"/>
        <v>Yes</v>
      </c>
      <c r="M33" s="11">
        <f>SUMPRODUCT(('Term mapping'!$D$2:$D$68="Core")*(((COUNTIFS('Industry materiality'!$A$2:$A$169,$H33,'Industry materiality'!$C$2:$C$169,'Term mapping'!$E$2:$E$68)+COUNTIFS('Industry materiality'!$A$2:$A$169,$H33,'Industry materiality'!$C$2:$C$169,'Term mapping'!$F$2:$F$68))&gt;0)*1))</f>
        <v>16</v>
      </c>
      <c r="N33" s="12" t="s">
        <v>89</v>
      </c>
      <c r="O33" s="12"/>
      <c r="P33" s="12"/>
    </row>
    <row r="34" spans="1:16" ht="25.5" x14ac:dyDescent="0.25">
      <c r="A34" s="9">
        <v>33</v>
      </c>
      <c r="B34" s="10" t="s">
        <v>202</v>
      </c>
      <c r="C34" s="9" t="s">
        <v>203</v>
      </c>
      <c r="D34" s="9" t="s">
        <v>189</v>
      </c>
      <c r="E34" s="9" t="s">
        <v>141</v>
      </c>
      <c r="F34" s="11" t="s">
        <v>81</v>
      </c>
      <c r="G34" s="9" t="str">
        <f>IFERROR(INDEX('SASB industries'!$A$2:$A$78,MATCH(H34,'SASB industries'!$B$2:$B$78,0)),"check name")</f>
        <v>Infrastructure</v>
      </c>
      <c r="H34" s="9" t="s">
        <v>141</v>
      </c>
      <c r="I34" s="9" t="s">
        <v>204</v>
      </c>
      <c r="J34" s="11" t="s">
        <v>125</v>
      </c>
      <c r="K34" s="9" t="s">
        <v>205</v>
      </c>
      <c r="L34" s="11" t="str">
        <f t="shared" ref="L34:L66" si="1">IF(G34="Financials","Yes","No")</f>
        <v>No</v>
      </c>
      <c r="M34" s="11">
        <f>SUMPRODUCT(('Term mapping'!$D$2:$D$68="Core")*(((COUNTIFS('Industry materiality'!$A$2:$A$169,$H34,'Industry materiality'!$C$2:$C$169,'Term mapping'!$E$2:$E$68)+COUNTIFS('Industry materiality'!$A$2:$A$169,$H34,'Industry materiality'!$C$2:$C$169,'Term mapping'!$F$2:$F$68))&gt;0)*1))</f>
        <v>5</v>
      </c>
      <c r="N34" s="12" t="s">
        <v>89</v>
      </c>
      <c r="O34" s="12"/>
      <c r="P34" s="12"/>
    </row>
    <row r="35" spans="1:16" ht="25.5" x14ac:dyDescent="0.25">
      <c r="A35" s="9">
        <v>34</v>
      </c>
      <c r="B35" s="10" t="s">
        <v>206</v>
      </c>
      <c r="C35" s="9" t="s">
        <v>207</v>
      </c>
      <c r="D35" s="9" t="s">
        <v>189</v>
      </c>
      <c r="E35" s="9" t="s">
        <v>88</v>
      </c>
      <c r="F35" s="11" t="s">
        <v>89</v>
      </c>
      <c r="G35" s="9" t="str">
        <f>IFERROR(INDEX('SASB industries'!$A$2:$A$78,MATCH(H35,'SASB industries'!$B$2:$B$78,0)),"check name")</f>
        <v>Financials</v>
      </c>
      <c r="H35" s="9" t="s">
        <v>90</v>
      </c>
      <c r="I35" s="9" t="s">
        <v>91</v>
      </c>
      <c r="J35" s="11" t="s">
        <v>84</v>
      </c>
      <c r="K35" s="9"/>
      <c r="L35" s="11" t="str">
        <f t="shared" si="1"/>
        <v>Yes</v>
      </c>
      <c r="M35" s="11">
        <f>SUMPRODUCT(('Term mapping'!$D$2:$D$68="Core")*(((COUNTIFS('Industry materiality'!$A$2:$A$169,$H35,'Industry materiality'!$C$2:$C$169,'Term mapping'!$E$2:$E$68)+COUNTIFS('Industry materiality'!$A$2:$A$169,$H35,'Industry materiality'!$C$2:$C$169,'Term mapping'!$F$2:$F$68))&gt;0)*1))</f>
        <v>16</v>
      </c>
      <c r="N35" s="12" t="s">
        <v>89</v>
      </c>
      <c r="O35" s="12"/>
      <c r="P35" s="12"/>
    </row>
    <row r="36" spans="1:16" ht="25.5" x14ac:dyDescent="0.25">
      <c r="A36" s="9">
        <v>35</v>
      </c>
      <c r="B36" s="10" t="s">
        <v>208</v>
      </c>
      <c r="C36" s="9" t="s">
        <v>209</v>
      </c>
      <c r="D36" s="9" t="s">
        <v>189</v>
      </c>
      <c r="E36" s="9" t="s">
        <v>141</v>
      </c>
      <c r="F36" s="11" t="s">
        <v>81</v>
      </c>
      <c r="G36" s="9" t="str">
        <f>IFERROR(INDEX('SASB industries'!$A$2:$A$78,MATCH(H36,'SASB industries'!$B$2:$B$78,0)),"check name")</f>
        <v>Infrastructure</v>
      </c>
      <c r="H36" s="9" t="s">
        <v>142</v>
      </c>
      <c r="I36" s="9" t="s">
        <v>210</v>
      </c>
      <c r="J36" s="11" t="s">
        <v>125</v>
      </c>
      <c r="K36" s="9" t="s">
        <v>211</v>
      </c>
      <c r="L36" s="11" t="str">
        <f t="shared" si="1"/>
        <v>No</v>
      </c>
      <c r="M36" s="11">
        <f>SUMPRODUCT(('Term mapping'!$D$2:$D$68="Core")*(((COUNTIFS('Industry materiality'!$A$2:$A$169,$H36,'Industry materiality'!$C$2:$C$169,'Term mapping'!$E$2:$E$68)+COUNTIFS('Industry materiality'!$A$2:$A$169,$H36,'Industry materiality'!$C$2:$C$169,'Term mapping'!$F$2:$F$68))&gt;0)*1))</f>
        <v>10</v>
      </c>
      <c r="N36" s="12" t="s">
        <v>89</v>
      </c>
      <c r="O36" s="12"/>
      <c r="P36" s="12"/>
    </row>
    <row r="37" spans="1:16" ht="25.5" x14ac:dyDescent="0.25">
      <c r="A37" s="9">
        <v>36</v>
      </c>
      <c r="B37" s="10" t="s">
        <v>212</v>
      </c>
      <c r="C37" s="9" t="s">
        <v>213</v>
      </c>
      <c r="D37" s="9" t="s">
        <v>189</v>
      </c>
      <c r="E37" s="9" t="s">
        <v>88</v>
      </c>
      <c r="F37" s="11" t="s">
        <v>89</v>
      </c>
      <c r="G37" s="9" t="str">
        <f>IFERROR(INDEX('SASB industries'!$A$2:$A$78,MATCH(H37,'SASB industries'!$B$2:$B$78,0)),"check name")</f>
        <v>Financials</v>
      </c>
      <c r="H37" s="9" t="s">
        <v>90</v>
      </c>
      <c r="I37" s="9" t="s">
        <v>91</v>
      </c>
      <c r="J37" s="11" t="s">
        <v>84</v>
      </c>
      <c r="K37" s="9"/>
      <c r="L37" s="11" t="str">
        <f t="shared" si="1"/>
        <v>Yes</v>
      </c>
      <c r="M37" s="11">
        <f>SUMPRODUCT(('Term mapping'!$D$2:$D$68="Core")*(((COUNTIFS('Industry materiality'!$A$2:$A$169,$H37,'Industry materiality'!$C$2:$C$169,'Term mapping'!$E$2:$E$68)+COUNTIFS('Industry materiality'!$A$2:$A$169,$H37,'Industry materiality'!$C$2:$C$169,'Term mapping'!$F$2:$F$68))&gt;0)*1))</f>
        <v>16</v>
      </c>
      <c r="N37" s="12" t="s">
        <v>89</v>
      </c>
      <c r="O37" s="12"/>
      <c r="P37" s="12"/>
    </row>
    <row r="38" spans="1:16" ht="38.25" x14ac:dyDescent="0.25">
      <c r="A38" s="9">
        <v>37</v>
      </c>
      <c r="B38" s="10" t="s">
        <v>214</v>
      </c>
      <c r="C38" s="9" t="s">
        <v>215</v>
      </c>
      <c r="D38" s="9" t="s">
        <v>189</v>
      </c>
      <c r="E38" s="9" t="s">
        <v>88</v>
      </c>
      <c r="F38" s="11" t="s">
        <v>89</v>
      </c>
      <c r="G38" s="9" t="str">
        <f>IFERROR(INDEX('SASB industries'!$A$2:$A$78,MATCH(H38,'SASB industries'!$B$2:$B$78,0)),"check name")</f>
        <v>Infrastructure</v>
      </c>
      <c r="H38" s="9" t="s">
        <v>141</v>
      </c>
      <c r="I38" s="9" t="s">
        <v>216</v>
      </c>
      <c r="J38" s="13" t="s">
        <v>158</v>
      </c>
      <c r="K38" s="14" t="s">
        <v>217</v>
      </c>
      <c r="L38" s="11" t="str">
        <f t="shared" si="1"/>
        <v>No</v>
      </c>
      <c r="M38" s="11">
        <f>SUMPRODUCT(('Term mapping'!$D$2:$D$68="Core")*(((COUNTIFS('Industry materiality'!$A$2:$A$169,$H38,'Industry materiality'!$C$2:$C$169,'Term mapping'!$E$2:$E$68)+COUNTIFS('Industry materiality'!$A$2:$A$169,$H38,'Industry materiality'!$C$2:$C$169,'Term mapping'!$F$2:$F$68))&gt;0)*1))</f>
        <v>5</v>
      </c>
      <c r="N38" s="12" t="s">
        <v>89</v>
      </c>
      <c r="O38" s="12"/>
      <c r="P38" s="12"/>
    </row>
    <row r="39" spans="1:16" ht="25.5" x14ac:dyDescent="0.25">
      <c r="A39" s="9">
        <v>38</v>
      </c>
      <c r="B39" s="10" t="s">
        <v>218</v>
      </c>
      <c r="C39" s="9" t="s">
        <v>219</v>
      </c>
      <c r="D39" s="9" t="s">
        <v>189</v>
      </c>
      <c r="E39" s="9" t="s">
        <v>174</v>
      </c>
      <c r="F39" s="11" t="s">
        <v>81</v>
      </c>
      <c r="G39" s="9" t="str">
        <f>IFERROR(INDEX('SASB industries'!$A$2:$A$78,MATCH(H39,'SASB industries'!$B$2:$B$78,0)),"check name")</f>
        <v>Transportation</v>
      </c>
      <c r="H39" s="9" t="s">
        <v>220</v>
      </c>
      <c r="I39" s="9" t="s">
        <v>221</v>
      </c>
      <c r="J39" s="11" t="s">
        <v>84</v>
      </c>
      <c r="K39" s="9"/>
      <c r="L39" s="11" t="str">
        <f t="shared" si="1"/>
        <v>No</v>
      </c>
      <c r="M39" s="11">
        <f>SUMPRODUCT(('Term mapping'!$D$2:$D$68="Core")*(((COUNTIFS('Industry materiality'!$A$2:$A$169,$H39,'Industry materiality'!$C$2:$C$169,'Term mapping'!$E$2:$E$68)+COUNTIFS('Industry materiality'!$A$2:$A$169,$H39,'Industry materiality'!$C$2:$C$169,'Term mapping'!$F$2:$F$68))&gt;0)*1))</f>
        <v>6</v>
      </c>
      <c r="N39" s="12" t="s">
        <v>89</v>
      </c>
      <c r="O39" s="12"/>
      <c r="P39" s="12"/>
    </row>
    <row r="40" spans="1:16" ht="25.5" x14ac:dyDescent="0.25">
      <c r="A40" s="9">
        <v>39</v>
      </c>
      <c r="B40" s="10" t="s">
        <v>222</v>
      </c>
      <c r="C40" s="9" t="s">
        <v>223</v>
      </c>
      <c r="D40" s="9" t="s">
        <v>189</v>
      </c>
      <c r="E40" s="9" t="s">
        <v>88</v>
      </c>
      <c r="F40" s="11" t="s">
        <v>89</v>
      </c>
      <c r="G40" s="9" t="str">
        <f>IFERROR(INDEX('SASB industries'!$A$2:$A$78,MATCH(H40,'SASB industries'!$B$2:$B$78,0)),"check name")</f>
        <v>Financials</v>
      </c>
      <c r="H40" s="9" t="s">
        <v>90</v>
      </c>
      <c r="I40" s="9" t="s">
        <v>91</v>
      </c>
      <c r="J40" s="11" t="s">
        <v>84</v>
      </c>
      <c r="K40" s="9"/>
      <c r="L40" s="11" t="str">
        <f t="shared" si="1"/>
        <v>Yes</v>
      </c>
      <c r="M40" s="11">
        <f>SUMPRODUCT(('Term mapping'!$D$2:$D$68="Core")*(((COUNTIFS('Industry materiality'!$A$2:$A$169,$H40,'Industry materiality'!$C$2:$C$169,'Term mapping'!$E$2:$E$68)+COUNTIFS('Industry materiality'!$A$2:$A$169,$H40,'Industry materiality'!$C$2:$C$169,'Term mapping'!$F$2:$F$68))&gt;0)*1))</f>
        <v>16</v>
      </c>
      <c r="N40" s="12" t="s">
        <v>89</v>
      </c>
      <c r="O40" s="12"/>
      <c r="P40" s="12"/>
    </row>
    <row r="41" spans="1:16" x14ac:dyDescent="0.25">
      <c r="A41" s="9">
        <v>40</v>
      </c>
      <c r="B41" s="10" t="s">
        <v>224</v>
      </c>
      <c r="C41" s="9" t="s">
        <v>225</v>
      </c>
      <c r="D41" s="9" t="s">
        <v>226</v>
      </c>
      <c r="E41" s="9" t="s">
        <v>88</v>
      </c>
      <c r="F41" s="11" t="s">
        <v>89</v>
      </c>
      <c r="G41" s="9" t="str">
        <f>IFERROR(INDEX('SASB industries'!$A$2:$A$78,MATCH(H41,'SASB industries'!$B$2:$B$78,0)),"check name")</f>
        <v>Financials</v>
      </c>
      <c r="H41" s="9" t="s">
        <v>90</v>
      </c>
      <c r="I41" s="9" t="s">
        <v>91</v>
      </c>
      <c r="J41" s="11" t="s">
        <v>84</v>
      </c>
      <c r="K41" s="9"/>
      <c r="L41" s="11" t="str">
        <f t="shared" si="1"/>
        <v>Yes</v>
      </c>
      <c r="M41" s="11">
        <f>SUMPRODUCT(('Term mapping'!$D$2:$D$68="Core")*(((COUNTIFS('Industry materiality'!$A$2:$A$169,$H41,'Industry materiality'!$C$2:$C$169,'Term mapping'!$E$2:$E$68)+COUNTIFS('Industry materiality'!$A$2:$A$169,$H41,'Industry materiality'!$C$2:$C$169,'Term mapping'!$F$2:$F$68))&gt;0)*1))</f>
        <v>16</v>
      </c>
      <c r="N41" s="12" t="s">
        <v>89</v>
      </c>
      <c r="O41" s="12"/>
      <c r="P41" s="12"/>
    </row>
    <row r="42" spans="1:16" ht="25.5" x14ac:dyDescent="0.25">
      <c r="A42" s="9">
        <v>41</v>
      </c>
      <c r="B42" s="10" t="s">
        <v>227</v>
      </c>
      <c r="C42" s="9" t="s">
        <v>228</v>
      </c>
      <c r="D42" s="9" t="s">
        <v>226</v>
      </c>
      <c r="E42" s="9" t="s">
        <v>96</v>
      </c>
      <c r="F42" s="11" t="s">
        <v>81</v>
      </c>
      <c r="G42" s="9" t="str">
        <f>IFERROR(INDEX('SASB industries'!$A$2:$A$78,MATCH(H42,'SASB industries'!$B$2:$B$78,0)),"check name")</f>
        <v>Resource Transformation</v>
      </c>
      <c r="H42" s="9" t="s">
        <v>97</v>
      </c>
      <c r="I42" s="9" t="s">
        <v>229</v>
      </c>
      <c r="J42" s="11" t="s">
        <v>125</v>
      </c>
      <c r="K42" s="9" t="s">
        <v>230</v>
      </c>
      <c r="L42" s="11" t="str">
        <f t="shared" si="1"/>
        <v>No</v>
      </c>
      <c r="M42" s="11">
        <f>SUMPRODUCT(('Term mapping'!$D$2:$D$68="Core")*(((COUNTIFS('Industry materiality'!$A$2:$A$169,$H42,'Industry materiality'!$C$2:$C$169,'Term mapping'!$E$2:$E$68)+COUNTIFS('Industry materiality'!$A$2:$A$169,$H42,'Industry materiality'!$C$2:$C$169,'Term mapping'!$F$2:$F$68))&gt;0)*1))</f>
        <v>14</v>
      </c>
      <c r="N42" s="12" t="s">
        <v>89</v>
      </c>
      <c r="O42" s="12"/>
      <c r="P42" s="12"/>
    </row>
    <row r="43" spans="1:16" ht="25.5" x14ac:dyDescent="0.25">
      <c r="A43" s="9">
        <v>42</v>
      </c>
      <c r="B43" s="10" t="s">
        <v>231</v>
      </c>
      <c r="C43" s="9" t="s">
        <v>232</v>
      </c>
      <c r="D43" s="9" t="s">
        <v>226</v>
      </c>
      <c r="E43" s="9" t="s">
        <v>101</v>
      </c>
      <c r="F43" s="11" t="s">
        <v>81</v>
      </c>
      <c r="G43" s="9" t="str">
        <f>IFERROR(INDEX('SASB industries'!$A$2:$A$78,MATCH(H43,'SASB industries'!$B$2:$B$78,0)),"check name")</f>
        <v>Technology &amp; Communications</v>
      </c>
      <c r="H43" s="9" t="s">
        <v>102</v>
      </c>
      <c r="I43" s="9" t="s">
        <v>103</v>
      </c>
      <c r="J43" s="11" t="s">
        <v>84</v>
      </c>
      <c r="K43" s="9"/>
      <c r="L43" s="11" t="str">
        <f t="shared" si="1"/>
        <v>No</v>
      </c>
      <c r="M43" s="11">
        <f>SUMPRODUCT(('Term mapping'!$D$2:$D$68="Core")*(((COUNTIFS('Industry materiality'!$A$2:$A$169,$H43,'Industry materiality'!$C$2:$C$169,'Term mapping'!$E$2:$E$68)+COUNTIFS('Industry materiality'!$A$2:$A$169,$H43,'Industry materiality'!$C$2:$C$169,'Term mapping'!$F$2:$F$68))&gt;0)*1))</f>
        <v>7</v>
      </c>
      <c r="N43" s="12" t="s">
        <v>89</v>
      </c>
      <c r="O43" s="12"/>
      <c r="P43" s="12"/>
    </row>
    <row r="44" spans="1:16" ht="25.5" x14ac:dyDescent="0.25">
      <c r="A44" s="9">
        <v>43</v>
      </c>
      <c r="B44" s="10" t="s">
        <v>233</v>
      </c>
      <c r="C44" s="9" t="s">
        <v>234</v>
      </c>
      <c r="D44" s="9" t="s">
        <v>226</v>
      </c>
      <c r="E44" s="9" t="s">
        <v>80</v>
      </c>
      <c r="F44" s="11" t="s">
        <v>81</v>
      </c>
      <c r="G44" s="9" t="str">
        <f>IFERROR(INDEX('SASB industries'!$A$2:$A$78,MATCH(H44,'SASB industries'!$B$2:$B$78,0)),"check name")</f>
        <v>Extractives &amp; Minerals Processing</v>
      </c>
      <c r="H44" s="9" t="s">
        <v>165</v>
      </c>
      <c r="I44" s="9" t="s">
        <v>235</v>
      </c>
      <c r="J44" s="11" t="s">
        <v>84</v>
      </c>
      <c r="K44" s="9"/>
      <c r="L44" s="11" t="str">
        <f t="shared" si="1"/>
        <v>No</v>
      </c>
      <c r="M44" s="11">
        <f>SUMPRODUCT(('Term mapping'!$D$2:$D$68="Core")*(((COUNTIFS('Industry materiality'!$A$2:$A$169,$H44,'Industry materiality'!$C$2:$C$169,'Term mapping'!$E$2:$E$68)+COUNTIFS('Industry materiality'!$A$2:$A$169,$H44,'Industry materiality'!$C$2:$C$169,'Term mapping'!$F$2:$F$68))&gt;0)*1))</f>
        <v>10</v>
      </c>
      <c r="N44" s="12" t="s">
        <v>89</v>
      </c>
      <c r="O44" s="12"/>
      <c r="P44" s="12"/>
    </row>
    <row r="45" spans="1:16" x14ac:dyDescent="0.25">
      <c r="A45" s="9">
        <v>44</v>
      </c>
      <c r="B45" s="10" t="s">
        <v>236</v>
      </c>
      <c r="C45" s="9" t="s">
        <v>237</v>
      </c>
      <c r="D45" s="9" t="s">
        <v>226</v>
      </c>
      <c r="E45" s="9" t="s">
        <v>122</v>
      </c>
      <c r="F45" s="11" t="s">
        <v>81</v>
      </c>
      <c r="G45" s="9" t="str">
        <f>IFERROR(INDEX('SASB industries'!$A$2:$A$78,MATCH(H45,'SASB industries'!$B$2:$B$78,0)),"check name")</f>
        <v>Food &amp; Beverage</v>
      </c>
      <c r="H45" s="9" t="s">
        <v>123</v>
      </c>
      <c r="I45" s="9" t="s">
        <v>238</v>
      </c>
      <c r="J45" s="11" t="s">
        <v>84</v>
      </c>
      <c r="K45" s="9"/>
      <c r="L45" s="11" t="str">
        <f t="shared" si="1"/>
        <v>No</v>
      </c>
      <c r="M45" s="11">
        <f>SUMPRODUCT(('Term mapping'!$D$2:$D$68="Core")*(((COUNTIFS('Industry materiality'!$A$2:$A$169,$H45,'Industry materiality'!$C$2:$C$169,'Term mapping'!$E$2:$E$68)+COUNTIFS('Industry materiality'!$A$2:$A$169,$H45,'Industry materiality'!$C$2:$C$169,'Term mapping'!$F$2:$F$68))&gt;0)*1))</f>
        <v>14</v>
      </c>
      <c r="N45" s="12" t="s">
        <v>89</v>
      </c>
      <c r="O45" s="12"/>
      <c r="P45" s="12"/>
    </row>
    <row r="46" spans="1:16" ht="25.5" x14ac:dyDescent="0.25">
      <c r="A46" s="9">
        <v>45</v>
      </c>
      <c r="B46" s="10" t="s">
        <v>239</v>
      </c>
      <c r="C46" s="9" t="s">
        <v>240</v>
      </c>
      <c r="D46" s="9" t="s">
        <v>226</v>
      </c>
      <c r="E46" s="9" t="s">
        <v>80</v>
      </c>
      <c r="F46" s="11" t="s">
        <v>81</v>
      </c>
      <c r="G46" s="9" t="str">
        <f>IFERROR(INDEX('SASB industries'!$A$2:$A$78,MATCH(H46,'SASB industries'!$B$2:$B$78,0)),"check name")</f>
        <v>Extractives &amp; Minerals Processing</v>
      </c>
      <c r="H46" s="9" t="s">
        <v>241</v>
      </c>
      <c r="I46" s="9" t="s">
        <v>242</v>
      </c>
      <c r="J46" s="11" t="s">
        <v>125</v>
      </c>
      <c r="K46" s="9" t="s">
        <v>243</v>
      </c>
      <c r="L46" s="11" t="str">
        <f t="shared" si="1"/>
        <v>No</v>
      </c>
      <c r="M46" s="11">
        <f>SUMPRODUCT(('Term mapping'!$D$2:$D$68="Core")*(((COUNTIFS('Industry materiality'!$A$2:$A$169,$H46,'Industry materiality'!$C$2:$C$169,'Term mapping'!$E$2:$E$68)+COUNTIFS('Industry materiality'!$A$2:$A$169,$H46,'Industry materiality'!$C$2:$C$169,'Term mapping'!$F$2:$F$68))&gt;0)*1))</f>
        <v>17</v>
      </c>
      <c r="N46" s="12" t="s">
        <v>89</v>
      </c>
      <c r="O46" s="12"/>
      <c r="P46" s="12"/>
    </row>
    <row r="47" spans="1:16" x14ac:dyDescent="0.25">
      <c r="A47" s="9">
        <v>46</v>
      </c>
      <c r="B47" s="10" t="s">
        <v>244</v>
      </c>
      <c r="C47" s="9" t="s">
        <v>245</v>
      </c>
      <c r="D47" s="9" t="s">
        <v>226</v>
      </c>
      <c r="E47" s="9" t="s">
        <v>80</v>
      </c>
      <c r="F47" s="11" t="s">
        <v>81</v>
      </c>
      <c r="G47" s="9" t="str">
        <f>IFERROR(INDEX('SASB industries'!$A$2:$A$78,MATCH(H47,'SASB industries'!$B$2:$B$78,0)),"check name")</f>
        <v>Transportation</v>
      </c>
      <c r="H47" s="9" t="s">
        <v>246</v>
      </c>
      <c r="I47" s="9" t="s">
        <v>247</v>
      </c>
      <c r="J47" s="11" t="s">
        <v>125</v>
      </c>
      <c r="K47" s="9" t="s">
        <v>248</v>
      </c>
      <c r="L47" s="11" t="str">
        <f t="shared" si="1"/>
        <v>No</v>
      </c>
      <c r="M47" s="11">
        <f>SUMPRODUCT(('Term mapping'!$D$2:$D$68="Core")*(((COUNTIFS('Industry materiality'!$A$2:$A$169,$H47,'Industry materiality'!$C$2:$C$169,'Term mapping'!$E$2:$E$68)+COUNTIFS('Industry materiality'!$A$2:$A$169,$H47,'Industry materiality'!$C$2:$C$169,'Term mapping'!$F$2:$F$68))&gt;0)*1))</f>
        <v>15</v>
      </c>
      <c r="N47" s="12" t="s">
        <v>89</v>
      </c>
      <c r="O47" s="12"/>
      <c r="P47" s="12"/>
    </row>
    <row r="48" spans="1:16" x14ac:dyDescent="0.25">
      <c r="A48" s="9">
        <v>47</v>
      </c>
      <c r="B48" s="10" t="s">
        <v>249</v>
      </c>
      <c r="C48" s="9" t="s">
        <v>250</v>
      </c>
      <c r="D48" s="9" t="s">
        <v>251</v>
      </c>
      <c r="E48" s="9" t="s">
        <v>88</v>
      </c>
      <c r="F48" s="11" t="s">
        <v>89</v>
      </c>
      <c r="G48" s="9" t="str">
        <f>IFERROR(INDEX('SASB industries'!$A$2:$A$78,MATCH(H48,'SASB industries'!$B$2:$B$78,0)),"check name")</f>
        <v>Financials</v>
      </c>
      <c r="H48" s="9" t="s">
        <v>90</v>
      </c>
      <c r="I48" s="9" t="s">
        <v>91</v>
      </c>
      <c r="J48" s="11" t="s">
        <v>84</v>
      </c>
      <c r="K48" s="9"/>
      <c r="L48" s="11" t="str">
        <f t="shared" si="1"/>
        <v>Yes</v>
      </c>
      <c r="M48" s="11">
        <f>SUMPRODUCT(('Term mapping'!$D$2:$D$68="Core")*(((COUNTIFS('Industry materiality'!$A$2:$A$169,$H48,'Industry materiality'!$C$2:$C$169,'Term mapping'!$E$2:$E$68)+COUNTIFS('Industry materiality'!$A$2:$A$169,$H48,'Industry materiality'!$C$2:$C$169,'Term mapping'!$F$2:$F$68))&gt;0)*1))</f>
        <v>16</v>
      </c>
      <c r="N48" s="12" t="s">
        <v>89</v>
      </c>
      <c r="O48" s="12"/>
      <c r="P48" s="12"/>
    </row>
    <row r="49" spans="1:16" x14ac:dyDescent="0.25">
      <c r="A49" s="9">
        <v>48</v>
      </c>
      <c r="B49" s="10" t="s">
        <v>252</v>
      </c>
      <c r="C49" s="9" t="s">
        <v>253</v>
      </c>
      <c r="D49" s="9" t="s">
        <v>251</v>
      </c>
      <c r="E49" s="9" t="s">
        <v>88</v>
      </c>
      <c r="F49" s="11" t="s">
        <v>89</v>
      </c>
      <c r="G49" s="9" t="str">
        <f>IFERROR(INDEX('SASB industries'!$A$2:$A$78,MATCH(H49,'SASB industries'!$B$2:$B$78,0)),"check name")</f>
        <v>Financials</v>
      </c>
      <c r="H49" s="9" t="s">
        <v>90</v>
      </c>
      <c r="I49" s="9" t="s">
        <v>91</v>
      </c>
      <c r="J49" s="11" t="s">
        <v>84</v>
      </c>
      <c r="K49" s="9"/>
      <c r="L49" s="11" t="str">
        <f t="shared" si="1"/>
        <v>Yes</v>
      </c>
      <c r="M49" s="11">
        <f>SUMPRODUCT(('Term mapping'!$D$2:$D$68="Core")*(((COUNTIFS('Industry materiality'!$A$2:$A$169,$H49,'Industry materiality'!$C$2:$C$169,'Term mapping'!$E$2:$E$68)+COUNTIFS('Industry materiality'!$A$2:$A$169,$H49,'Industry materiality'!$C$2:$C$169,'Term mapping'!$F$2:$F$68))&gt;0)*1))</f>
        <v>16</v>
      </c>
      <c r="N49" s="12" t="s">
        <v>89</v>
      </c>
      <c r="O49" s="12"/>
      <c r="P49" s="12"/>
    </row>
    <row r="50" spans="1:16" x14ac:dyDescent="0.25">
      <c r="A50" s="9">
        <v>49</v>
      </c>
      <c r="B50" s="10" t="s">
        <v>254</v>
      </c>
      <c r="C50" s="9" t="s">
        <v>255</v>
      </c>
      <c r="D50" s="9" t="s">
        <v>251</v>
      </c>
      <c r="E50" s="9" t="s">
        <v>88</v>
      </c>
      <c r="F50" s="11" t="s">
        <v>89</v>
      </c>
      <c r="G50" s="9" t="str">
        <f>IFERROR(INDEX('SASB industries'!$A$2:$A$78,MATCH(H50,'SASB industries'!$B$2:$B$78,0)),"check name")</f>
        <v>Financials</v>
      </c>
      <c r="H50" s="9" t="s">
        <v>90</v>
      </c>
      <c r="I50" s="9" t="s">
        <v>91</v>
      </c>
      <c r="J50" s="11" t="s">
        <v>84</v>
      </c>
      <c r="K50" s="9"/>
      <c r="L50" s="11" t="str">
        <f t="shared" si="1"/>
        <v>Yes</v>
      </c>
      <c r="M50" s="11">
        <f>SUMPRODUCT(('Term mapping'!$D$2:$D$68="Core")*(((COUNTIFS('Industry materiality'!$A$2:$A$169,$H50,'Industry materiality'!$C$2:$C$169,'Term mapping'!$E$2:$E$68)+COUNTIFS('Industry materiality'!$A$2:$A$169,$H50,'Industry materiality'!$C$2:$C$169,'Term mapping'!$F$2:$F$68))&gt;0)*1))</f>
        <v>16</v>
      </c>
      <c r="N50" s="12" t="s">
        <v>89</v>
      </c>
      <c r="O50" s="12"/>
      <c r="P50" s="12"/>
    </row>
    <row r="51" spans="1:16" ht="25.5" x14ac:dyDescent="0.25">
      <c r="A51" s="9">
        <v>50</v>
      </c>
      <c r="B51" s="10" t="s">
        <v>256</v>
      </c>
      <c r="C51" s="9" t="s">
        <v>257</v>
      </c>
      <c r="D51" s="9" t="s">
        <v>251</v>
      </c>
      <c r="E51" s="9" t="s">
        <v>101</v>
      </c>
      <c r="F51" s="11" t="s">
        <v>81</v>
      </c>
      <c r="G51" s="9" t="str">
        <f>IFERROR(INDEX('SASB industries'!$A$2:$A$78,MATCH(H51,'SASB industries'!$B$2:$B$78,0)),"check name")</f>
        <v>Technology &amp; Communications</v>
      </c>
      <c r="H51" s="9" t="s">
        <v>102</v>
      </c>
      <c r="I51" s="9" t="s">
        <v>103</v>
      </c>
      <c r="J51" s="11" t="s">
        <v>84</v>
      </c>
      <c r="K51" s="9"/>
      <c r="L51" s="11" t="str">
        <f t="shared" si="1"/>
        <v>No</v>
      </c>
      <c r="M51" s="11">
        <f>SUMPRODUCT(('Term mapping'!$D$2:$D$68="Core")*(((COUNTIFS('Industry materiality'!$A$2:$A$169,$H51,'Industry materiality'!$C$2:$C$169,'Term mapping'!$E$2:$E$68)+COUNTIFS('Industry materiality'!$A$2:$A$169,$H51,'Industry materiality'!$C$2:$C$169,'Term mapping'!$F$2:$F$68))&gt;0)*1))</f>
        <v>7</v>
      </c>
      <c r="N51" s="12" t="s">
        <v>89</v>
      </c>
      <c r="O51" s="12"/>
      <c r="P51" s="12"/>
    </row>
    <row r="52" spans="1:16" ht="25.5" x14ac:dyDescent="0.25">
      <c r="A52" s="9">
        <v>51</v>
      </c>
      <c r="B52" s="10" t="s">
        <v>258</v>
      </c>
      <c r="C52" s="9" t="s">
        <v>259</v>
      </c>
      <c r="D52" s="9" t="s">
        <v>251</v>
      </c>
      <c r="E52" s="9" t="s">
        <v>101</v>
      </c>
      <c r="F52" s="11" t="s">
        <v>81</v>
      </c>
      <c r="G52" s="9" t="str">
        <f>IFERROR(INDEX('SASB industries'!$A$2:$A$78,MATCH(H52,'SASB industries'!$B$2:$B$78,0)),"check name")</f>
        <v>Technology &amp; Communications</v>
      </c>
      <c r="H52" s="9" t="s">
        <v>102</v>
      </c>
      <c r="I52" s="9" t="s">
        <v>103</v>
      </c>
      <c r="J52" s="11" t="s">
        <v>84</v>
      </c>
      <c r="K52" s="9"/>
      <c r="L52" s="11" t="str">
        <f t="shared" si="1"/>
        <v>No</v>
      </c>
      <c r="M52" s="11">
        <f>SUMPRODUCT(('Term mapping'!$D$2:$D$68="Core")*(((COUNTIFS('Industry materiality'!$A$2:$A$169,$H52,'Industry materiality'!$C$2:$C$169,'Term mapping'!$E$2:$E$68)+COUNTIFS('Industry materiality'!$A$2:$A$169,$H52,'Industry materiality'!$C$2:$C$169,'Term mapping'!$F$2:$F$68))&gt;0)*1))</f>
        <v>7</v>
      </c>
      <c r="N52" s="12" t="s">
        <v>89</v>
      </c>
      <c r="O52" s="12"/>
      <c r="P52" s="12"/>
    </row>
    <row r="53" spans="1:16" x14ac:dyDescent="0.25">
      <c r="A53" s="9">
        <v>52</v>
      </c>
      <c r="B53" s="10" t="s">
        <v>260</v>
      </c>
      <c r="C53" s="9" t="s">
        <v>261</v>
      </c>
      <c r="D53" s="9" t="s">
        <v>251</v>
      </c>
      <c r="E53" s="9" t="s">
        <v>141</v>
      </c>
      <c r="F53" s="11" t="s">
        <v>81</v>
      </c>
      <c r="G53" s="9" t="str">
        <f>IFERROR(INDEX('SASB industries'!$A$2:$A$78,MATCH(H53,'SASB industries'!$B$2:$B$78,0)),"check name")</f>
        <v>Infrastructure</v>
      </c>
      <c r="H53" s="9" t="s">
        <v>141</v>
      </c>
      <c r="I53" s="9" t="s">
        <v>262</v>
      </c>
      <c r="J53" s="11" t="s">
        <v>125</v>
      </c>
      <c r="K53" s="9"/>
      <c r="L53" s="11" t="str">
        <f t="shared" si="1"/>
        <v>No</v>
      </c>
      <c r="M53" s="11">
        <f>SUMPRODUCT(('Term mapping'!$D$2:$D$68="Core")*(((COUNTIFS('Industry materiality'!$A$2:$A$169,$H53,'Industry materiality'!$C$2:$C$169,'Term mapping'!$E$2:$E$68)+COUNTIFS('Industry materiality'!$A$2:$A$169,$H53,'Industry materiality'!$C$2:$C$169,'Term mapping'!$F$2:$F$68))&gt;0)*1))</f>
        <v>5</v>
      </c>
      <c r="N53" s="12" t="s">
        <v>89</v>
      </c>
      <c r="O53" s="12"/>
      <c r="P53" s="12"/>
    </row>
    <row r="54" spans="1:16" x14ac:dyDescent="0.25">
      <c r="A54" s="9">
        <v>53</v>
      </c>
      <c r="B54" s="10" t="s">
        <v>263</v>
      </c>
      <c r="C54" s="9" t="s">
        <v>264</v>
      </c>
      <c r="D54" s="9" t="s">
        <v>265</v>
      </c>
      <c r="E54" s="9" t="s">
        <v>88</v>
      </c>
      <c r="F54" s="11" t="s">
        <v>89</v>
      </c>
      <c r="G54" s="9" t="str">
        <f>IFERROR(INDEX('SASB industries'!$A$2:$A$78,MATCH(H54,'SASB industries'!$B$2:$B$78,0)),"check name")</f>
        <v>Financials</v>
      </c>
      <c r="H54" s="9" t="s">
        <v>90</v>
      </c>
      <c r="I54" s="9" t="s">
        <v>91</v>
      </c>
      <c r="J54" s="11" t="s">
        <v>84</v>
      </c>
      <c r="K54" s="9"/>
      <c r="L54" s="11" t="str">
        <f t="shared" si="1"/>
        <v>Yes</v>
      </c>
      <c r="M54" s="11">
        <f>SUMPRODUCT(('Term mapping'!$D$2:$D$68="Core")*(((COUNTIFS('Industry materiality'!$A$2:$A$169,$H54,'Industry materiality'!$C$2:$C$169,'Term mapping'!$E$2:$E$68)+COUNTIFS('Industry materiality'!$A$2:$A$169,$H54,'Industry materiality'!$C$2:$C$169,'Term mapping'!$F$2:$F$68))&gt;0)*1))</f>
        <v>16</v>
      </c>
      <c r="N54" s="12" t="s">
        <v>89</v>
      </c>
      <c r="O54" s="12"/>
      <c r="P54" s="12"/>
    </row>
    <row r="55" spans="1:16" ht="25.5" x14ac:dyDescent="0.25">
      <c r="A55" s="9">
        <v>54</v>
      </c>
      <c r="B55" s="10" t="s">
        <v>266</v>
      </c>
      <c r="C55" s="9" t="s">
        <v>267</v>
      </c>
      <c r="D55" s="9" t="s">
        <v>265</v>
      </c>
      <c r="E55" s="9" t="s">
        <v>101</v>
      </c>
      <c r="F55" s="11" t="s">
        <v>81</v>
      </c>
      <c r="G55" s="9" t="str">
        <f>IFERROR(INDEX('SASB industries'!$A$2:$A$78,MATCH(H55,'SASB industries'!$B$2:$B$78,0)),"check name")</f>
        <v>Technology &amp; Communications</v>
      </c>
      <c r="H55" s="9" t="s">
        <v>102</v>
      </c>
      <c r="I55" s="9" t="s">
        <v>103</v>
      </c>
      <c r="J55" s="11" t="s">
        <v>84</v>
      </c>
      <c r="K55" s="9"/>
      <c r="L55" s="11" t="str">
        <f t="shared" si="1"/>
        <v>No</v>
      </c>
      <c r="M55" s="11">
        <f>SUMPRODUCT(('Term mapping'!$D$2:$D$68="Core")*(((COUNTIFS('Industry materiality'!$A$2:$A$169,$H55,'Industry materiality'!$C$2:$C$169,'Term mapping'!$E$2:$E$68)+COUNTIFS('Industry materiality'!$A$2:$A$169,$H55,'Industry materiality'!$C$2:$C$169,'Term mapping'!$F$2:$F$68))&gt;0)*1))</f>
        <v>7</v>
      </c>
      <c r="N55" s="12" t="s">
        <v>89</v>
      </c>
      <c r="O55" s="12"/>
      <c r="P55" s="12"/>
    </row>
    <row r="56" spans="1:16" ht="25.5" x14ac:dyDescent="0.25">
      <c r="A56" s="9">
        <v>55</v>
      </c>
      <c r="B56" s="10" t="s">
        <v>268</v>
      </c>
      <c r="C56" s="9" t="s">
        <v>269</v>
      </c>
      <c r="D56" s="9" t="s">
        <v>265</v>
      </c>
      <c r="E56" s="9" t="s">
        <v>88</v>
      </c>
      <c r="F56" s="11" t="s">
        <v>89</v>
      </c>
      <c r="G56" s="9" t="str">
        <f>IFERROR(INDEX('SASB industries'!$A$2:$A$78,MATCH(H56,'SASB industries'!$B$2:$B$78,0)),"check name")</f>
        <v>Financials</v>
      </c>
      <c r="H56" s="9" t="s">
        <v>270</v>
      </c>
      <c r="I56" s="9" t="s">
        <v>271</v>
      </c>
      <c r="J56" s="13" t="s">
        <v>158</v>
      </c>
      <c r="K56" s="9" t="s">
        <v>272</v>
      </c>
      <c r="L56" s="11" t="str">
        <f t="shared" si="1"/>
        <v>Yes</v>
      </c>
      <c r="M56" s="11">
        <f>SUMPRODUCT(('Term mapping'!$D$2:$D$68="Core")*(((COUNTIFS('Industry materiality'!$A$2:$A$169,$H56,'Industry materiality'!$C$2:$C$169,'Term mapping'!$E$2:$E$68)+COUNTIFS('Industry materiality'!$A$2:$A$169,$H56,'Industry materiality'!$C$2:$C$169,'Term mapping'!$F$2:$F$68))&gt;0)*1))</f>
        <v>8</v>
      </c>
      <c r="N56" s="12" t="s">
        <v>89</v>
      </c>
      <c r="O56" s="12"/>
      <c r="P56" s="12"/>
    </row>
    <row r="57" spans="1:16" x14ac:dyDescent="0.25">
      <c r="A57" s="9">
        <v>56</v>
      </c>
      <c r="B57" s="10" t="s">
        <v>273</v>
      </c>
      <c r="C57" s="9" t="s">
        <v>274</v>
      </c>
      <c r="D57" s="9" t="s">
        <v>265</v>
      </c>
      <c r="E57" s="9" t="s">
        <v>88</v>
      </c>
      <c r="F57" s="11" t="s">
        <v>89</v>
      </c>
      <c r="G57" s="9" t="str">
        <f>IFERROR(INDEX('SASB industries'!$A$2:$A$78,MATCH(H57,'SASB industries'!$B$2:$B$78,0)),"check name")</f>
        <v>Financials</v>
      </c>
      <c r="H57" s="9" t="s">
        <v>90</v>
      </c>
      <c r="I57" s="9" t="s">
        <v>91</v>
      </c>
      <c r="J57" s="11" t="s">
        <v>84</v>
      </c>
      <c r="K57" s="9"/>
      <c r="L57" s="11" t="str">
        <f t="shared" si="1"/>
        <v>Yes</v>
      </c>
      <c r="M57" s="11">
        <f>SUMPRODUCT(('Term mapping'!$D$2:$D$68="Core")*(((COUNTIFS('Industry materiality'!$A$2:$A$169,$H57,'Industry materiality'!$C$2:$C$169,'Term mapping'!$E$2:$E$68)+COUNTIFS('Industry materiality'!$A$2:$A$169,$H57,'Industry materiality'!$C$2:$C$169,'Term mapping'!$F$2:$F$68))&gt;0)*1))</f>
        <v>16</v>
      </c>
      <c r="N57" s="12" t="s">
        <v>89</v>
      </c>
      <c r="O57" s="12"/>
      <c r="P57" s="12"/>
    </row>
    <row r="58" spans="1:16" x14ac:dyDescent="0.25">
      <c r="A58" s="9">
        <v>57</v>
      </c>
      <c r="B58" s="10" t="s">
        <v>275</v>
      </c>
      <c r="C58" s="9" t="s">
        <v>276</v>
      </c>
      <c r="D58" s="9" t="s">
        <v>265</v>
      </c>
      <c r="E58" s="9" t="s">
        <v>88</v>
      </c>
      <c r="F58" s="11" t="s">
        <v>89</v>
      </c>
      <c r="G58" s="9" t="str">
        <f>IFERROR(INDEX('SASB industries'!$A$2:$A$78,MATCH(H58,'SASB industries'!$B$2:$B$78,0)),"check name")</f>
        <v>Financials</v>
      </c>
      <c r="H58" s="9" t="s">
        <v>90</v>
      </c>
      <c r="I58" s="9" t="s">
        <v>91</v>
      </c>
      <c r="J58" s="11" t="s">
        <v>84</v>
      </c>
      <c r="K58" s="9"/>
      <c r="L58" s="11" t="str">
        <f t="shared" si="1"/>
        <v>Yes</v>
      </c>
      <c r="M58" s="11">
        <f>SUMPRODUCT(('Term mapping'!$D$2:$D$68="Core")*(((COUNTIFS('Industry materiality'!$A$2:$A$169,$H58,'Industry materiality'!$C$2:$C$169,'Term mapping'!$E$2:$E$68)+COUNTIFS('Industry materiality'!$A$2:$A$169,$H58,'Industry materiality'!$C$2:$C$169,'Term mapping'!$F$2:$F$68))&gt;0)*1))</f>
        <v>16</v>
      </c>
      <c r="N58" s="12" t="s">
        <v>89</v>
      </c>
      <c r="O58" s="12"/>
      <c r="P58" s="12"/>
    </row>
    <row r="59" spans="1:16" x14ac:dyDescent="0.25">
      <c r="A59" s="9">
        <v>58</v>
      </c>
      <c r="B59" s="10" t="s">
        <v>277</v>
      </c>
      <c r="C59" s="9" t="s">
        <v>278</v>
      </c>
      <c r="D59" s="9" t="s">
        <v>279</v>
      </c>
      <c r="E59" s="9" t="s">
        <v>88</v>
      </c>
      <c r="F59" s="11" t="s">
        <v>89</v>
      </c>
      <c r="G59" s="9" t="str">
        <f>IFERROR(INDEX('SASB industries'!$A$2:$A$78,MATCH(H59,'SASB industries'!$B$2:$B$78,0)),"check name")</f>
        <v>Financials</v>
      </c>
      <c r="H59" s="9" t="s">
        <v>90</v>
      </c>
      <c r="I59" s="9" t="s">
        <v>91</v>
      </c>
      <c r="J59" s="11" t="s">
        <v>84</v>
      </c>
      <c r="K59" s="9"/>
      <c r="L59" s="11" t="str">
        <f t="shared" si="1"/>
        <v>Yes</v>
      </c>
      <c r="M59" s="11">
        <f>SUMPRODUCT(('Term mapping'!$D$2:$D$68="Core")*(((COUNTIFS('Industry materiality'!$A$2:$A$169,$H59,'Industry materiality'!$C$2:$C$169,'Term mapping'!$E$2:$E$68)+COUNTIFS('Industry materiality'!$A$2:$A$169,$H59,'Industry materiality'!$C$2:$C$169,'Term mapping'!$F$2:$F$68))&gt;0)*1))</f>
        <v>16</v>
      </c>
      <c r="N59" s="12" t="s">
        <v>89</v>
      </c>
      <c r="O59" s="12"/>
      <c r="P59" s="12"/>
    </row>
    <row r="60" spans="1:16" ht="25.5" x14ac:dyDescent="0.25">
      <c r="A60" s="9">
        <v>59</v>
      </c>
      <c r="B60" s="10" t="s">
        <v>280</v>
      </c>
      <c r="C60" s="9" t="s">
        <v>281</v>
      </c>
      <c r="D60" s="9" t="s">
        <v>279</v>
      </c>
      <c r="E60" s="9" t="s">
        <v>101</v>
      </c>
      <c r="F60" s="11" t="s">
        <v>81</v>
      </c>
      <c r="G60" s="9" t="str">
        <f>IFERROR(INDEX('SASB industries'!$A$2:$A$78,MATCH(H60,'SASB industries'!$B$2:$B$78,0)),"check name")</f>
        <v>Technology &amp; Communications</v>
      </c>
      <c r="H60" s="9" t="s">
        <v>102</v>
      </c>
      <c r="I60" s="9" t="s">
        <v>103</v>
      </c>
      <c r="J60" s="11" t="s">
        <v>84</v>
      </c>
      <c r="K60" s="9"/>
      <c r="L60" s="11" t="str">
        <f t="shared" si="1"/>
        <v>No</v>
      </c>
      <c r="M60" s="11">
        <f>SUMPRODUCT(('Term mapping'!$D$2:$D$68="Core")*(((COUNTIFS('Industry materiality'!$A$2:$A$169,$H60,'Industry materiality'!$C$2:$C$169,'Term mapping'!$E$2:$E$68)+COUNTIFS('Industry materiality'!$A$2:$A$169,$H60,'Industry materiality'!$C$2:$C$169,'Term mapping'!$F$2:$F$68))&gt;0)*1))</f>
        <v>7</v>
      </c>
      <c r="N60" s="12" t="s">
        <v>89</v>
      </c>
      <c r="O60" s="12"/>
      <c r="P60" s="12"/>
    </row>
    <row r="61" spans="1:16" ht="25.5" x14ac:dyDescent="0.25">
      <c r="A61" s="9">
        <v>60</v>
      </c>
      <c r="B61" s="10" t="s">
        <v>282</v>
      </c>
      <c r="C61" s="9" t="s">
        <v>283</v>
      </c>
      <c r="D61" s="9" t="s">
        <v>279</v>
      </c>
      <c r="E61" s="9" t="s">
        <v>96</v>
      </c>
      <c r="F61" s="11" t="s">
        <v>81</v>
      </c>
      <c r="G61" s="9" t="str">
        <f>IFERROR(INDEX('SASB industries'!$A$2:$A$78,MATCH(H61,'SASB industries'!$B$2:$B$78,0)),"check name")</f>
        <v>Extractives &amp; Minerals Processing</v>
      </c>
      <c r="H61" s="9" t="s">
        <v>106</v>
      </c>
      <c r="I61" s="9" t="s">
        <v>284</v>
      </c>
      <c r="J61" s="11" t="s">
        <v>125</v>
      </c>
      <c r="K61" s="9" t="s">
        <v>285</v>
      </c>
      <c r="L61" s="11" t="str">
        <f t="shared" si="1"/>
        <v>No</v>
      </c>
      <c r="M61" s="11">
        <f>SUMPRODUCT(('Term mapping'!$D$2:$D$68="Core")*(((COUNTIFS('Industry materiality'!$A$2:$A$169,$H61,'Industry materiality'!$C$2:$C$169,'Term mapping'!$E$2:$E$68)+COUNTIFS('Industry materiality'!$A$2:$A$169,$H61,'Industry materiality'!$C$2:$C$169,'Term mapping'!$F$2:$F$68))&gt;0)*1))</f>
        <v>22</v>
      </c>
      <c r="N61" s="12" t="s">
        <v>89</v>
      </c>
      <c r="O61" s="12"/>
      <c r="P61" s="12"/>
    </row>
    <row r="62" spans="1:16" x14ac:dyDescent="0.25">
      <c r="A62" s="9">
        <v>61</v>
      </c>
      <c r="B62" s="10" t="s">
        <v>286</v>
      </c>
      <c r="C62" s="9" t="s">
        <v>287</v>
      </c>
      <c r="D62" s="9" t="s">
        <v>279</v>
      </c>
      <c r="E62" s="14" t="s">
        <v>288</v>
      </c>
      <c r="F62" s="11" t="s">
        <v>81</v>
      </c>
      <c r="G62" s="9" t="str">
        <f>IFERROR(INDEX('SASB industries'!$A$2:$A$78,MATCH(H62,'SASB industries'!$B$2:$B$78,0)),"check name")</f>
        <v>Services</v>
      </c>
      <c r="H62" s="9" t="s">
        <v>289</v>
      </c>
      <c r="I62" s="9" t="s">
        <v>290</v>
      </c>
      <c r="J62" s="11" t="s">
        <v>84</v>
      </c>
      <c r="K62" s="9"/>
      <c r="L62" s="11" t="str">
        <f t="shared" si="1"/>
        <v>No</v>
      </c>
      <c r="M62" s="11">
        <f>SUMPRODUCT(('Term mapping'!$D$2:$D$68="Core")*(((COUNTIFS('Industry materiality'!$A$2:$A$169,$H62,'Industry materiality'!$C$2:$C$169,'Term mapping'!$E$2:$E$68)+COUNTIFS('Industry materiality'!$A$2:$A$169,$H62,'Industry materiality'!$C$2:$C$169,'Term mapping'!$F$2:$F$68))&gt;0)*1))</f>
        <v>9</v>
      </c>
      <c r="N62" s="12" t="s">
        <v>89</v>
      </c>
      <c r="O62" s="12"/>
      <c r="P62" s="12"/>
    </row>
    <row r="63" spans="1:16" ht="25.5" x14ac:dyDescent="0.25">
      <c r="A63" s="9">
        <v>62</v>
      </c>
      <c r="B63" s="10" t="s">
        <v>291</v>
      </c>
      <c r="C63" s="9" t="s">
        <v>292</v>
      </c>
      <c r="D63" s="9" t="s">
        <v>265</v>
      </c>
      <c r="E63" s="14" t="s">
        <v>288</v>
      </c>
      <c r="F63" s="11" t="s">
        <v>81</v>
      </c>
      <c r="G63" s="9" t="str">
        <f>IFERROR(INDEX('SASB industries'!$A$2:$A$78,MATCH(H63,'SASB industries'!$B$2:$B$78,0)),"check name")</f>
        <v>Extractives &amp; Minerals Processing</v>
      </c>
      <c r="H63" s="9" t="s">
        <v>293</v>
      </c>
      <c r="I63" s="9" t="s">
        <v>294</v>
      </c>
      <c r="J63" s="11" t="s">
        <v>125</v>
      </c>
      <c r="K63" s="9"/>
      <c r="L63" s="11" t="str">
        <f t="shared" si="1"/>
        <v>No</v>
      </c>
      <c r="M63" s="11">
        <f>SUMPRODUCT(('Term mapping'!$D$2:$D$68="Core")*(((COUNTIFS('Industry materiality'!$A$2:$A$169,$H63,'Industry materiality'!$C$2:$C$169,'Term mapping'!$E$2:$E$68)+COUNTIFS('Industry materiality'!$A$2:$A$169,$H63,'Industry materiality'!$C$2:$C$169,'Term mapping'!$F$2:$F$68))&gt;0)*1))</f>
        <v>12</v>
      </c>
      <c r="N63" s="12" t="s">
        <v>89</v>
      </c>
      <c r="O63" s="12"/>
      <c r="P63" s="12"/>
    </row>
    <row r="64" spans="1:16" ht="25.5" x14ac:dyDescent="0.25">
      <c r="A64" s="9">
        <v>63</v>
      </c>
      <c r="B64" s="10" t="s">
        <v>295</v>
      </c>
      <c r="C64" s="9" t="s">
        <v>296</v>
      </c>
      <c r="D64" s="9" t="s">
        <v>226</v>
      </c>
      <c r="E64" s="14" t="s">
        <v>288</v>
      </c>
      <c r="F64" s="11" t="s">
        <v>81</v>
      </c>
      <c r="G64" s="9" t="str">
        <f>IFERROR(INDEX('SASB industries'!$A$2:$A$78,MATCH(H64,'SASB industries'!$B$2:$B$78,0)),"check name")</f>
        <v>Infrastructure</v>
      </c>
      <c r="H64" s="9" t="s">
        <v>141</v>
      </c>
      <c r="I64" s="9" t="s">
        <v>297</v>
      </c>
      <c r="J64" s="13" t="s">
        <v>158</v>
      </c>
      <c r="K64" s="14" t="s">
        <v>298</v>
      </c>
      <c r="L64" s="11" t="str">
        <f t="shared" si="1"/>
        <v>No</v>
      </c>
      <c r="M64" s="11">
        <f>SUMPRODUCT(('Term mapping'!$D$2:$D$68="Core")*(((COUNTIFS('Industry materiality'!$A$2:$A$169,$H64,'Industry materiality'!$C$2:$C$169,'Term mapping'!$E$2:$E$68)+COUNTIFS('Industry materiality'!$A$2:$A$169,$H64,'Industry materiality'!$C$2:$C$169,'Term mapping'!$F$2:$F$68))&gt;0)*1))</f>
        <v>5</v>
      </c>
      <c r="N64" s="12" t="s">
        <v>89</v>
      </c>
      <c r="O64" s="12"/>
      <c r="P64" s="12"/>
    </row>
    <row r="65" spans="1:16" x14ac:dyDescent="0.25">
      <c r="A65" s="9">
        <v>64</v>
      </c>
      <c r="B65" s="10" t="s">
        <v>299</v>
      </c>
      <c r="C65" s="9" t="s">
        <v>300</v>
      </c>
      <c r="D65" s="9" t="s">
        <v>226</v>
      </c>
      <c r="E65" s="14" t="s">
        <v>288</v>
      </c>
      <c r="F65" s="11" t="s">
        <v>81</v>
      </c>
      <c r="G65" s="9" t="str">
        <f>IFERROR(INDEX('SASB industries'!$A$2:$A$78,MATCH(H65,'SASB industries'!$B$2:$B$78,0)),"check name")</f>
        <v>Infrastructure</v>
      </c>
      <c r="H65" s="9" t="s">
        <v>141</v>
      </c>
      <c r="I65" s="9" t="s">
        <v>301</v>
      </c>
      <c r="J65" s="11" t="s">
        <v>125</v>
      </c>
      <c r="K65" s="9"/>
      <c r="L65" s="11" t="str">
        <f t="shared" si="1"/>
        <v>No</v>
      </c>
      <c r="M65" s="11">
        <f>SUMPRODUCT(('Term mapping'!$D$2:$D$68="Core")*(((COUNTIFS('Industry materiality'!$A$2:$A$169,$H65,'Industry materiality'!$C$2:$C$169,'Term mapping'!$E$2:$E$68)+COUNTIFS('Industry materiality'!$A$2:$A$169,$H65,'Industry materiality'!$C$2:$C$169,'Term mapping'!$F$2:$F$68))&gt;0)*1))</f>
        <v>5</v>
      </c>
      <c r="N65" s="12" t="s">
        <v>89</v>
      </c>
      <c r="O65" s="12"/>
      <c r="P65" s="12"/>
    </row>
    <row r="66" spans="1:16" x14ac:dyDescent="0.25">
      <c r="A66" s="9">
        <v>65</v>
      </c>
      <c r="B66" s="10" t="s">
        <v>302</v>
      </c>
      <c r="C66" s="9" t="s">
        <v>303</v>
      </c>
      <c r="D66" s="9" t="s">
        <v>251</v>
      </c>
      <c r="E66" s="14" t="s">
        <v>288</v>
      </c>
      <c r="F66" s="11" t="s">
        <v>81</v>
      </c>
      <c r="G66" s="9" t="str">
        <f>IFERROR(INDEX('SASB industries'!$A$2:$A$78,MATCH(H66,'SASB industries'!$B$2:$B$78,0)),"check name")</f>
        <v>Transportation</v>
      </c>
      <c r="H66" s="9" t="s">
        <v>220</v>
      </c>
      <c r="I66" s="9" t="s">
        <v>221</v>
      </c>
      <c r="J66" s="11" t="s">
        <v>84</v>
      </c>
      <c r="K66" s="9"/>
      <c r="L66" s="11" t="str">
        <f t="shared" si="1"/>
        <v>No</v>
      </c>
      <c r="M66" s="11">
        <f>SUMPRODUCT(('Term mapping'!$D$2:$D$68="Core")*(((COUNTIFS('Industry materiality'!$A$2:$A$169,$H66,'Industry materiality'!$C$2:$C$169,'Term mapping'!$E$2:$E$68)+COUNTIFS('Industry materiality'!$A$2:$A$169,$H66,'Industry materiality'!$C$2:$C$169,'Term mapping'!$F$2:$F$68))&gt;0)*1))</f>
        <v>6</v>
      </c>
      <c r="N66" s="12" t="s">
        <v>89</v>
      </c>
      <c r="O66" s="12"/>
      <c r="P66" s="12"/>
    </row>
  </sheetData>
  <autoFilter ref="A1:P66" xr:uid="{00000000-0009-0000-0000-000001000000}"/>
  <dataValidations count="1">
    <dataValidation type="list" allowBlank="1" sqref="N2:N66" xr:uid="{00000000-0002-0000-0100-000000000000}">
      <formula1>"Yes,No"</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1000000}">
          <x14:formula1>
            <xm:f>'SASB industries'!$B$2:$B$78</xm:f>
          </x14:formula1>
          <x14:formula2>
            <xm:f>0</xm:f>
          </x14:formula2>
          <xm:sqref>O2:O66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pane xSplit="3" ySplit="1" topLeftCell="D43" activePane="bottomRight" state="frozen"/>
      <selection pane="topRight" activeCell="D1" sqref="D1"/>
      <selection pane="bottomLeft" activeCell="A2" sqref="A2"/>
      <selection pane="bottomRight" activeCell="J2" sqref="J2:J68"/>
    </sheetView>
  </sheetViews>
  <sheetFormatPr defaultColWidth="8.7109375" defaultRowHeight="15" x14ac:dyDescent="0.25"/>
  <cols>
    <col min="1" max="1" width="5" customWidth="1"/>
    <col min="2" max="2" width="13" customWidth="1"/>
    <col min="3" max="3" width="30" customWidth="1"/>
    <col min="4" max="4" width="24" customWidth="1"/>
    <col min="5" max="5" width="34" customWidth="1"/>
    <col min="6" max="6" width="30" customWidth="1"/>
    <col min="7" max="7" width="22" customWidth="1"/>
    <col min="8" max="8" width="11" customWidth="1"/>
    <col min="9" max="9" width="52" customWidth="1"/>
    <col min="10" max="10" width="9" customWidth="1"/>
    <col min="11" max="11" width="30" customWidth="1"/>
    <col min="12" max="12" width="36" customWidth="1"/>
  </cols>
  <sheetData>
    <row r="1" spans="1:12" ht="31.5" customHeight="1" x14ac:dyDescent="0.25">
      <c r="A1" s="7" t="s">
        <v>64</v>
      </c>
      <c r="B1" s="7" t="s">
        <v>304</v>
      </c>
      <c r="C1" s="7" t="s">
        <v>305</v>
      </c>
      <c r="D1" s="7" t="s">
        <v>306</v>
      </c>
      <c r="E1" s="7" t="s">
        <v>307</v>
      </c>
      <c r="F1" s="7" t="s">
        <v>308</v>
      </c>
      <c r="G1" s="7" t="s">
        <v>309</v>
      </c>
      <c r="H1" s="7" t="s">
        <v>73</v>
      </c>
      <c r="I1" s="7" t="s">
        <v>74</v>
      </c>
      <c r="J1" s="8" t="s">
        <v>21</v>
      </c>
      <c r="K1" s="8" t="s">
        <v>23</v>
      </c>
      <c r="L1" s="8" t="s">
        <v>25</v>
      </c>
    </row>
    <row r="2" spans="1:12" ht="25.5" x14ac:dyDescent="0.25">
      <c r="A2" s="9">
        <v>1</v>
      </c>
      <c r="B2" s="9" t="s">
        <v>310</v>
      </c>
      <c r="C2" s="10" t="s">
        <v>311</v>
      </c>
      <c r="D2" s="9" t="s">
        <v>312</v>
      </c>
      <c r="E2" s="9" t="s">
        <v>313</v>
      </c>
      <c r="F2" s="9" t="s">
        <v>314</v>
      </c>
      <c r="G2" s="9" t="str">
        <f>IF(OR(E2="",E2="No SASB category"),"",IFERROR(INDEX('SASB categories'!$A$2:$A$27,MATCH(E2,'SASB categories'!$B$2:$B$27,0)),"check name"))</f>
        <v>Environment</v>
      </c>
      <c r="H2" s="9" t="s">
        <v>125</v>
      </c>
      <c r="I2" s="9" t="s">
        <v>315</v>
      </c>
      <c r="J2" s="12" t="s">
        <v>89</v>
      </c>
      <c r="K2" s="12"/>
      <c r="L2" s="12"/>
    </row>
    <row r="3" spans="1:12" ht="25.5" x14ac:dyDescent="0.25">
      <c r="A3" s="9">
        <v>2</v>
      </c>
      <c r="B3" s="9" t="s">
        <v>310</v>
      </c>
      <c r="C3" s="10" t="s">
        <v>316</v>
      </c>
      <c r="D3" s="9" t="s">
        <v>312</v>
      </c>
      <c r="E3" s="9" t="s">
        <v>314</v>
      </c>
      <c r="F3" s="9" t="s">
        <v>317</v>
      </c>
      <c r="G3" s="9" t="str">
        <f>IF(OR(E3="",E3="No SASB category"),"",IFERROR(INDEX('SASB categories'!$A$2:$A$27,MATCH(E3,'SASB categories'!$B$2:$B$27,0)),"check name"))</f>
        <v>Business Model &amp; Innovation</v>
      </c>
      <c r="H3" s="9" t="s">
        <v>125</v>
      </c>
      <c r="I3" s="9" t="s">
        <v>318</v>
      </c>
      <c r="J3" s="12" t="s">
        <v>89</v>
      </c>
      <c r="K3" s="12"/>
      <c r="L3" s="12"/>
    </row>
    <row r="4" spans="1:12" x14ac:dyDescent="0.25">
      <c r="A4" s="9">
        <v>3</v>
      </c>
      <c r="B4" s="9" t="s">
        <v>310</v>
      </c>
      <c r="C4" s="10" t="s">
        <v>319</v>
      </c>
      <c r="D4" s="9" t="s">
        <v>312</v>
      </c>
      <c r="E4" s="9" t="s">
        <v>313</v>
      </c>
      <c r="F4" s="9"/>
      <c r="G4" s="9" t="str">
        <f>IF(OR(E4="",E4="No SASB category"),"",IFERROR(INDEX('SASB categories'!$A$2:$A$27,MATCH(E4,'SASB categories'!$B$2:$B$27,0)),"check name"))</f>
        <v>Environment</v>
      </c>
      <c r="H4" s="9" t="s">
        <v>84</v>
      </c>
      <c r="I4" s="9"/>
      <c r="J4" s="12" t="s">
        <v>89</v>
      </c>
      <c r="K4" s="12"/>
      <c r="L4" s="12"/>
    </row>
    <row r="5" spans="1:12" x14ac:dyDescent="0.25">
      <c r="A5" s="9">
        <v>4</v>
      </c>
      <c r="B5" s="9" t="s">
        <v>310</v>
      </c>
      <c r="C5" s="10" t="s">
        <v>320</v>
      </c>
      <c r="D5" s="9" t="s">
        <v>312</v>
      </c>
      <c r="E5" s="9" t="s">
        <v>313</v>
      </c>
      <c r="F5" s="9"/>
      <c r="G5" s="9" t="str">
        <f>IF(OR(E5="",E5="No SASB category"),"",IFERROR(INDEX('SASB categories'!$A$2:$A$27,MATCH(E5,'SASB categories'!$B$2:$B$27,0)),"check name"))</f>
        <v>Environment</v>
      </c>
      <c r="H5" s="9" t="s">
        <v>84</v>
      </c>
      <c r="I5" s="9"/>
      <c r="J5" s="12" t="s">
        <v>89</v>
      </c>
      <c r="K5" s="12"/>
      <c r="L5" s="12"/>
    </row>
    <row r="6" spans="1:12" x14ac:dyDescent="0.25">
      <c r="A6" s="9">
        <v>5</v>
      </c>
      <c r="B6" s="9" t="s">
        <v>310</v>
      </c>
      <c r="C6" s="10" t="s">
        <v>321</v>
      </c>
      <c r="D6" s="9" t="s">
        <v>312</v>
      </c>
      <c r="E6" s="9" t="s">
        <v>313</v>
      </c>
      <c r="F6" s="9"/>
      <c r="G6" s="9" t="str">
        <f>IF(OR(E6="",E6="No SASB category"),"",IFERROR(INDEX('SASB categories'!$A$2:$A$27,MATCH(E6,'SASB categories'!$B$2:$B$27,0)),"check name"))</f>
        <v>Environment</v>
      </c>
      <c r="H6" s="9" t="s">
        <v>84</v>
      </c>
      <c r="I6" s="9"/>
      <c r="J6" s="12" t="s">
        <v>89</v>
      </c>
      <c r="K6" s="12"/>
      <c r="L6" s="12"/>
    </row>
    <row r="7" spans="1:12" x14ac:dyDescent="0.25">
      <c r="A7" s="9">
        <v>6</v>
      </c>
      <c r="B7" s="9" t="s">
        <v>310</v>
      </c>
      <c r="C7" s="10" t="s">
        <v>322</v>
      </c>
      <c r="D7" s="9" t="s">
        <v>312</v>
      </c>
      <c r="E7" s="9" t="s">
        <v>323</v>
      </c>
      <c r="F7" s="9"/>
      <c r="G7" s="9" t="str">
        <f>IF(OR(E7="",E7="No SASB category"),"",IFERROR(INDEX('SASB categories'!$A$2:$A$27,MATCH(E7,'SASB categories'!$B$2:$B$27,0)),"check name"))</f>
        <v>Environment</v>
      </c>
      <c r="H7" s="9" t="s">
        <v>84</v>
      </c>
      <c r="I7" s="9"/>
      <c r="J7" s="12" t="s">
        <v>89</v>
      </c>
      <c r="K7" s="12"/>
      <c r="L7" s="12"/>
    </row>
    <row r="8" spans="1:12" x14ac:dyDescent="0.25">
      <c r="A8" s="9">
        <v>7</v>
      </c>
      <c r="B8" s="9" t="s">
        <v>310</v>
      </c>
      <c r="C8" s="10" t="s">
        <v>324</v>
      </c>
      <c r="D8" s="9" t="s">
        <v>312</v>
      </c>
      <c r="E8" s="9" t="s">
        <v>323</v>
      </c>
      <c r="F8" s="9"/>
      <c r="G8" s="9" t="str">
        <f>IF(OR(E8="",E8="No SASB category"),"",IFERROR(INDEX('SASB categories'!$A$2:$A$27,MATCH(E8,'SASB categories'!$B$2:$B$27,0)),"check name"))</f>
        <v>Environment</v>
      </c>
      <c r="H8" s="9" t="s">
        <v>84</v>
      </c>
      <c r="I8" s="9"/>
      <c r="J8" s="12" t="s">
        <v>89</v>
      </c>
      <c r="K8" s="12"/>
      <c r="L8" s="12"/>
    </row>
    <row r="9" spans="1:12" ht="25.5" x14ac:dyDescent="0.25">
      <c r="A9" s="15">
        <v>8</v>
      </c>
      <c r="B9" s="15" t="s">
        <v>310</v>
      </c>
      <c r="C9" s="16" t="s">
        <v>325</v>
      </c>
      <c r="D9" s="15" t="s">
        <v>326</v>
      </c>
      <c r="E9" s="15" t="s">
        <v>327</v>
      </c>
      <c r="F9" s="15"/>
      <c r="G9" s="15" t="str">
        <f>IF(OR(E9="",E9="No SASB category"),"",IFERROR(INDEX('SASB categories'!$A$2:$A$27,MATCH(E9,'SASB categories'!$B$2:$B$27,0)),"check name"))</f>
        <v>Business Model &amp; Innovation</v>
      </c>
      <c r="H9" s="15" t="s">
        <v>125</v>
      </c>
      <c r="I9" s="15" t="s">
        <v>328</v>
      </c>
      <c r="J9" s="12" t="s">
        <v>89</v>
      </c>
      <c r="K9" s="12"/>
      <c r="L9" s="12"/>
    </row>
    <row r="10" spans="1:12" ht="38.25" x14ac:dyDescent="0.25">
      <c r="A10" s="9">
        <v>9</v>
      </c>
      <c r="B10" s="9" t="s">
        <v>310</v>
      </c>
      <c r="C10" s="10" t="s">
        <v>329</v>
      </c>
      <c r="D10" s="9" t="s">
        <v>312</v>
      </c>
      <c r="E10" s="9" t="s">
        <v>330</v>
      </c>
      <c r="F10" s="9"/>
      <c r="G10" s="9" t="str">
        <f>IF(OR(E10="",E10="No SASB category"),"",IFERROR(INDEX('SASB categories'!$A$2:$A$27,MATCH(E10,'SASB categories'!$B$2:$B$27,0)),"check name"))</f>
        <v/>
      </c>
      <c r="H10" s="9" t="s">
        <v>125</v>
      </c>
      <c r="I10" s="9" t="s">
        <v>331</v>
      </c>
      <c r="J10" s="12" t="s">
        <v>89</v>
      </c>
      <c r="K10" s="12"/>
      <c r="L10" s="12"/>
    </row>
    <row r="11" spans="1:12" ht="25.5" x14ac:dyDescent="0.25">
      <c r="A11" s="15">
        <v>10</v>
      </c>
      <c r="B11" s="15" t="s">
        <v>310</v>
      </c>
      <c r="C11" s="16" t="s">
        <v>332</v>
      </c>
      <c r="D11" s="15" t="s">
        <v>326</v>
      </c>
      <c r="E11" s="15" t="s">
        <v>327</v>
      </c>
      <c r="F11" s="15"/>
      <c r="G11" s="15" t="str">
        <f>IF(OR(E11="",E11="No SASB category"),"",IFERROR(INDEX('SASB categories'!$A$2:$A$27,MATCH(E11,'SASB categories'!$B$2:$B$27,0)),"check name"))</f>
        <v>Business Model &amp; Innovation</v>
      </c>
      <c r="H11" s="15" t="s">
        <v>125</v>
      </c>
      <c r="I11" s="15" t="s">
        <v>333</v>
      </c>
      <c r="J11" s="12" t="s">
        <v>89</v>
      </c>
      <c r="K11" s="12"/>
      <c r="L11" s="12"/>
    </row>
    <row r="12" spans="1:12" x14ac:dyDescent="0.25">
      <c r="A12" s="9">
        <v>11</v>
      </c>
      <c r="B12" s="9" t="s">
        <v>310</v>
      </c>
      <c r="C12" s="10" t="s">
        <v>334</v>
      </c>
      <c r="D12" s="9" t="s">
        <v>312</v>
      </c>
      <c r="E12" s="9" t="s">
        <v>330</v>
      </c>
      <c r="F12" s="9"/>
      <c r="G12" s="9" t="str">
        <f>IF(OR(E12="",E12="No SASB category"),"",IFERROR(INDEX('SASB categories'!$A$2:$A$27,MATCH(E12,'SASB categories'!$B$2:$B$27,0)),"check name"))</f>
        <v/>
      </c>
      <c r="H12" s="9" t="s">
        <v>125</v>
      </c>
      <c r="I12" s="9" t="s">
        <v>335</v>
      </c>
      <c r="J12" s="12" t="s">
        <v>89</v>
      </c>
      <c r="K12" s="12"/>
      <c r="L12" s="12"/>
    </row>
    <row r="13" spans="1:12" x14ac:dyDescent="0.25">
      <c r="A13" s="9">
        <v>12</v>
      </c>
      <c r="B13" s="9" t="s">
        <v>310</v>
      </c>
      <c r="C13" s="10" t="s">
        <v>336</v>
      </c>
      <c r="D13" s="9" t="s">
        <v>312</v>
      </c>
      <c r="E13" s="9" t="s">
        <v>337</v>
      </c>
      <c r="F13" s="9"/>
      <c r="G13" s="9" t="str">
        <f>IF(OR(E13="",E13="No SASB category"),"",IFERROR(INDEX('SASB categories'!$A$2:$A$27,MATCH(E13,'SASB categories'!$B$2:$B$27,0)),"check name"))</f>
        <v>Environment</v>
      </c>
      <c r="H13" s="9" t="s">
        <v>84</v>
      </c>
      <c r="I13" s="9"/>
      <c r="J13" s="12" t="s">
        <v>89</v>
      </c>
      <c r="K13" s="12"/>
      <c r="L13" s="12"/>
    </row>
    <row r="14" spans="1:12" ht="25.5" x14ac:dyDescent="0.25">
      <c r="A14" s="9">
        <v>13</v>
      </c>
      <c r="B14" s="9" t="s">
        <v>310</v>
      </c>
      <c r="C14" s="10" t="s">
        <v>338</v>
      </c>
      <c r="D14" s="9" t="s">
        <v>312</v>
      </c>
      <c r="E14" s="9" t="s">
        <v>339</v>
      </c>
      <c r="F14" s="9"/>
      <c r="G14" s="9" t="str">
        <f>IF(OR(E14="",E14="No SASB category"),"",IFERROR(INDEX('SASB categories'!$A$2:$A$27,MATCH(E14,'SASB categories'!$B$2:$B$27,0)),"check name"))</f>
        <v>Environment</v>
      </c>
      <c r="H14" s="9" t="s">
        <v>84</v>
      </c>
      <c r="I14" s="9"/>
      <c r="J14" s="12" t="s">
        <v>89</v>
      </c>
      <c r="K14" s="12"/>
      <c r="L14" s="12"/>
    </row>
    <row r="15" spans="1:12" x14ac:dyDescent="0.25">
      <c r="A15" s="9">
        <v>14</v>
      </c>
      <c r="B15" s="9" t="s">
        <v>310</v>
      </c>
      <c r="C15" s="10" t="s">
        <v>340</v>
      </c>
      <c r="D15" s="9" t="s">
        <v>312</v>
      </c>
      <c r="E15" s="9" t="s">
        <v>341</v>
      </c>
      <c r="F15" s="9"/>
      <c r="G15" s="9" t="str">
        <f>IF(OR(E15="",E15="No SASB category"),"",IFERROR(INDEX('SASB categories'!$A$2:$A$27,MATCH(E15,'SASB categories'!$B$2:$B$27,0)),"check name"))</f>
        <v>Environment</v>
      </c>
      <c r="H15" s="9" t="s">
        <v>84</v>
      </c>
      <c r="I15" s="9"/>
      <c r="J15" s="12" t="s">
        <v>89</v>
      </c>
      <c r="K15" s="12"/>
      <c r="L15" s="12"/>
    </row>
    <row r="16" spans="1:12" ht="25.5" x14ac:dyDescent="0.25">
      <c r="A16" s="17">
        <v>15</v>
      </c>
      <c r="B16" s="17" t="s">
        <v>310</v>
      </c>
      <c r="C16" s="18" t="s">
        <v>342</v>
      </c>
      <c r="D16" s="17" t="s">
        <v>343</v>
      </c>
      <c r="E16" s="17"/>
      <c r="F16" s="17"/>
      <c r="G16" s="17" t="str">
        <f>IF(OR(E16="",E16="No SASB category"),"",IFERROR(INDEX('SASB categories'!$A$2:$A$27,MATCH(E16,'SASB categories'!$B$2:$B$27,0)),"check name"))</f>
        <v/>
      </c>
      <c r="H16" s="17"/>
      <c r="I16" s="17" t="s">
        <v>344</v>
      </c>
      <c r="J16" s="12" t="s">
        <v>89</v>
      </c>
      <c r="K16" s="12"/>
      <c r="L16" s="12"/>
    </row>
    <row r="17" spans="1:12" ht="25.5" x14ac:dyDescent="0.25">
      <c r="A17" s="17">
        <v>16</v>
      </c>
      <c r="B17" s="17" t="s">
        <v>310</v>
      </c>
      <c r="C17" s="18" t="s">
        <v>345</v>
      </c>
      <c r="D17" s="17" t="s">
        <v>343</v>
      </c>
      <c r="E17" s="17"/>
      <c r="F17" s="17"/>
      <c r="G17" s="17" t="str">
        <f>IF(OR(E17="",E17="No SASB category"),"",IFERROR(INDEX('SASB categories'!$A$2:$A$27,MATCH(E17,'SASB categories'!$B$2:$B$27,0)),"check name"))</f>
        <v/>
      </c>
      <c r="H17" s="17"/>
      <c r="I17" s="17" t="s">
        <v>346</v>
      </c>
      <c r="J17" s="12" t="s">
        <v>89</v>
      </c>
      <c r="K17" s="12"/>
      <c r="L17" s="12"/>
    </row>
    <row r="18" spans="1:12" ht="25.5" x14ac:dyDescent="0.25">
      <c r="A18" s="17">
        <v>17</v>
      </c>
      <c r="B18" s="17" t="s">
        <v>310</v>
      </c>
      <c r="C18" s="18" t="s">
        <v>347</v>
      </c>
      <c r="D18" s="17" t="s">
        <v>343</v>
      </c>
      <c r="E18" s="17"/>
      <c r="F18" s="17"/>
      <c r="G18" s="17" t="str">
        <f>IF(OR(E18="",E18="No SASB category"),"",IFERROR(INDEX('SASB categories'!$A$2:$A$27,MATCH(E18,'SASB categories'!$B$2:$B$27,0)),"check name"))</f>
        <v/>
      </c>
      <c r="H18" s="17"/>
      <c r="I18" s="17" t="s">
        <v>346</v>
      </c>
      <c r="J18" s="12" t="s">
        <v>89</v>
      </c>
      <c r="K18" s="12"/>
      <c r="L18" s="12"/>
    </row>
    <row r="19" spans="1:12" x14ac:dyDescent="0.25">
      <c r="A19" s="9">
        <v>18</v>
      </c>
      <c r="B19" s="9" t="s">
        <v>310</v>
      </c>
      <c r="C19" s="10" t="s">
        <v>348</v>
      </c>
      <c r="D19" s="9" t="s">
        <v>312</v>
      </c>
      <c r="E19" s="9" t="s">
        <v>313</v>
      </c>
      <c r="F19" s="9"/>
      <c r="G19" s="9" t="str">
        <f>IF(OR(E19="",E19="No SASB category"),"",IFERROR(INDEX('SASB categories'!$A$2:$A$27,MATCH(E19,'SASB categories'!$B$2:$B$27,0)),"check name"))</f>
        <v>Environment</v>
      </c>
      <c r="H19" s="9" t="s">
        <v>84</v>
      </c>
      <c r="I19" s="9"/>
      <c r="J19" s="12" t="s">
        <v>89</v>
      </c>
      <c r="K19" s="12"/>
      <c r="L19" s="12"/>
    </row>
    <row r="20" spans="1:12" ht="25.5" x14ac:dyDescent="0.25">
      <c r="A20" s="17">
        <v>19</v>
      </c>
      <c r="B20" s="17" t="s">
        <v>310</v>
      </c>
      <c r="C20" s="18" t="s">
        <v>349</v>
      </c>
      <c r="D20" s="17" t="s">
        <v>343</v>
      </c>
      <c r="E20" s="17"/>
      <c r="F20" s="17"/>
      <c r="G20" s="17" t="str">
        <f>IF(OR(E20="",E20="No SASB category"),"",IFERROR(INDEX('SASB categories'!$A$2:$A$27,MATCH(E20,'SASB categories'!$B$2:$B$27,0)),"check name"))</f>
        <v/>
      </c>
      <c r="H20" s="17"/>
      <c r="I20" s="17" t="s">
        <v>346</v>
      </c>
      <c r="J20" s="12" t="s">
        <v>89</v>
      </c>
      <c r="K20" s="12"/>
      <c r="L20" s="12"/>
    </row>
    <row r="21" spans="1:12" ht="25.5" x14ac:dyDescent="0.25">
      <c r="A21" s="15">
        <v>20</v>
      </c>
      <c r="B21" s="15" t="s">
        <v>310</v>
      </c>
      <c r="C21" s="16" t="s">
        <v>350</v>
      </c>
      <c r="D21" s="15" t="s">
        <v>326</v>
      </c>
      <c r="E21" s="15" t="s">
        <v>327</v>
      </c>
      <c r="F21" s="15"/>
      <c r="G21" s="15" t="str">
        <f>IF(OR(E21="",E21="No SASB category"),"",IFERROR(INDEX('SASB categories'!$A$2:$A$27,MATCH(E21,'SASB categories'!$B$2:$B$27,0)),"check name"))</f>
        <v>Business Model &amp; Innovation</v>
      </c>
      <c r="H21" s="15" t="s">
        <v>125</v>
      </c>
      <c r="I21" s="15" t="s">
        <v>333</v>
      </c>
      <c r="J21" s="12" t="s">
        <v>89</v>
      </c>
      <c r="K21" s="12"/>
      <c r="L21" s="12"/>
    </row>
    <row r="22" spans="1:12" x14ac:dyDescent="0.25">
      <c r="A22" s="9">
        <v>21</v>
      </c>
      <c r="B22" s="9" t="s">
        <v>310</v>
      </c>
      <c r="C22" s="10" t="s">
        <v>351</v>
      </c>
      <c r="D22" s="9" t="s">
        <v>312</v>
      </c>
      <c r="E22" s="9" t="s">
        <v>341</v>
      </c>
      <c r="F22" s="9"/>
      <c r="G22" s="9" t="str">
        <f>IF(OR(E22="",E22="No SASB category"),"",IFERROR(INDEX('SASB categories'!$A$2:$A$27,MATCH(E22,'SASB categories'!$B$2:$B$27,0)),"check name"))</f>
        <v>Environment</v>
      </c>
      <c r="H22" s="9" t="s">
        <v>84</v>
      </c>
      <c r="I22" s="9"/>
      <c r="J22" s="12" t="s">
        <v>89</v>
      </c>
      <c r="K22" s="12"/>
      <c r="L22" s="12"/>
    </row>
    <row r="23" spans="1:12" x14ac:dyDescent="0.25">
      <c r="A23" s="9">
        <v>22</v>
      </c>
      <c r="B23" s="9" t="s">
        <v>310</v>
      </c>
      <c r="C23" s="10" t="s">
        <v>352</v>
      </c>
      <c r="D23" s="9" t="s">
        <v>312</v>
      </c>
      <c r="E23" s="9" t="s">
        <v>341</v>
      </c>
      <c r="F23" s="9"/>
      <c r="G23" s="9" t="str">
        <f>IF(OR(E23="",E23="No SASB category"),"",IFERROR(INDEX('SASB categories'!$A$2:$A$27,MATCH(E23,'SASB categories'!$B$2:$B$27,0)),"check name"))</f>
        <v>Environment</v>
      </c>
      <c r="H23" s="9" t="s">
        <v>125</v>
      </c>
      <c r="I23" s="9" t="s">
        <v>353</v>
      </c>
      <c r="J23" s="12" t="s">
        <v>89</v>
      </c>
      <c r="K23" s="12"/>
      <c r="L23" s="12"/>
    </row>
    <row r="24" spans="1:12" ht="25.5" x14ac:dyDescent="0.25">
      <c r="A24" s="9">
        <v>23</v>
      </c>
      <c r="B24" s="9" t="s">
        <v>354</v>
      </c>
      <c r="C24" s="10" t="s">
        <v>355</v>
      </c>
      <c r="D24" s="9" t="s">
        <v>312</v>
      </c>
      <c r="E24" s="9" t="s">
        <v>356</v>
      </c>
      <c r="F24" s="9"/>
      <c r="G24" s="9" t="str">
        <f>IF(OR(E24="",E24="No SASB category"),"",IFERROR(INDEX('SASB categories'!$A$2:$A$27,MATCH(E24,'SASB categories'!$B$2:$B$27,0)),"check name"))</f>
        <v>Human Capital</v>
      </c>
      <c r="H24" s="9" t="s">
        <v>84</v>
      </c>
      <c r="I24" s="9"/>
      <c r="J24" s="12" t="s">
        <v>89</v>
      </c>
      <c r="K24" s="12"/>
      <c r="L24" s="12"/>
    </row>
    <row r="25" spans="1:12" ht="25.5" x14ac:dyDescent="0.25">
      <c r="A25" s="9">
        <v>24</v>
      </c>
      <c r="B25" s="9" t="s">
        <v>354</v>
      </c>
      <c r="C25" s="10" t="s">
        <v>357</v>
      </c>
      <c r="D25" s="9" t="s">
        <v>312</v>
      </c>
      <c r="E25" s="9" t="s">
        <v>356</v>
      </c>
      <c r="F25" s="9"/>
      <c r="G25" s="9" t="str">
        <f>IF(OR(E25="",E25="No SASB category"),"",IFERROR(INDEX('SASB categories'!$A$2:$A$27,MATCH(E25,'SASB categories'!$B$2:$B$27,0)),"check name"))</f>
        <v>Human Capital</v>
      </c>
      <c r="H25" s="9" t="s">
        <v>125</v>
      </c>
      <c r="I25" s="9" t="s">
        <v>358</v>
      </c>
      <c r="J25" s="12" t="s">
        <v>89</v>
      </c>
      <c r="K25" s="12"/>
      <c r="L25" s="12"/>
    </row>
    <row r="26" spans="1:12" x14ac:dyDescent="0.25">
      <c r="A26" s="9">
        <v>25</v>
      </c>
      <c r="B26" s="9" t="s">
        <v>354</v>
      </c>
      <c r="C26" s="10" t="s">
        <v>359</v>
      </c>
      <c r="D26" s="9" t="s">
        <v>312</v>
      </c>
      <c r="E26" s="9" t="s">
        <v>360</v>
      </c>
      <c r="F26" s="9"/>
      <c r="G26" s="9" t="str">
        <f>IF(OR(E26="",E26="No SASB category"),"",IFERROR(INDEX('SASB categories'!$A$2:$A$27,MATCH(E26,'SASB categories'!$B$2:$B$27,0)),"check name"))</f>
        <v>Social Capital</v>
      </c>
      <c r="H26" s="9" t="s">
        <v>84</v>
      </c>
      <c r="I26" s="9"/>
      <c r="J26" s="12" t="s">
        <v>89</v>
      </c>
      <c r="K26" s="12"/>
      <c r="L26" s="12"/>
    </row>
    <row r="27" spans="1:12" x14ac:dyDescent="0.25">
      <c r="A27" s="9">
        <v>26</v>
      </c>
      <c r="B27" s="9" t="s">
        <v>354</v>
      </c>
      <c r="C27" s="10" t="s">
        <v>361</v>
      </c>
      <c r="D27" s="9" t="s">
        <v>312</v>
      </c>
      <c r="E27" s="9" t="s">
        <v>362</v>
      </c>
      <c r="F27" s="9" t="s">
        <v>363</v>
      </c>
      <c r="G27" s="9" t="str">
        <f>IF(OR(E27="",E27="No SASB category"),"",IFERROR(INDEX('SASB categories'!$A$2:$A$27,MATCH(E27,'SASB categories'!$B$2:$B$27,0)),"check name"))</f>
        <v>Human Capital</v>
      </c>
      <c r="H27" s="9" t="s">
        <v>125</v>
      </c>
      <c r="I27" s="9"/>
      <c r="J27" s="12" t="s">
        <v>89</v>
      </c>
      <c r="K27" s="12"/>
      <c r="L27" s="12"/>
    </row>
    <row r="28" spans="1:12" ht="25.5" x14ac:dyDescent="0.25">
      <c r="A28" s="9">
        <v>27</v>
      </c>
      <c r="B28" s="9" t="s">
        <v>354</v>
      </c>
      <c r="C28" s="10" t="s">
        <v>364</v>
      </c>
      <c r="D28" s="9" t="s">
        <v>312</v>
      </c>
      <c r="E28" s="9" t="s">
        <v>356</v>
      </c>
      <c r="F28" s="9"/>
      <c r="G28" s="9" t="str">
        <f>IF(OR(E28="",E28="No SASB category"),"",IFERROR(INDEX('SASB categories'!$A$2:$A$27,MATCH(E28,'SASB categories'!$B$2:$B$27,0)),"check name"))</f>
        <v>Human Capital</v>
      </c>
      <c r="H28" s="9" t="s">
        <v>125</v>
      </c>
      <c r="I28" s="9" t="s">
        <v>365</v>
      </c>
      <c r="J28" s="12" t="s">
        <v>89</v>
      </c>
      <c r="K28" s="12"/>
      <c r="L28" s="12"/>
    </row>
    <row r="29" spans="1:12" ht="25.5" x14ac:dyDescent="0.25">
      <c r="A29" s="9">
        <v>28</v>
      </c>
      <c r="B29" s="9" t="s">
        <v>354</v>
      </c>
      <c r="C29" s="10" t="s">
        <v>366</v>
      </c>
      <c r="D29" s="9" t="s">
        <v>312</v>
      </c>
      <c r="E29" s="9" t="s">
        <v>362</v>
      </c>
      <c r="F29" s="9" t="s">
        <v>367</v>
      </c>
      <c r="G29" s="9" t="str">
        <f>IF(OR(E29="",E29="No SASB category"),"",IFERROR(INDEX('SASB categories'!$A$2:$A$27,MATCH(E29,'SASB categories'!$B$2:$B$27,0)),"check name"))</f>
        <v>Human Capital</v>
      </c>
      <c r="H29" s="9" t="s">
        <v>84</v>
      </c>
      <c r="I29" s="9" t="s">
        <v>368</v>
      </c>
      <c r="J29" s="12" t="s">
        <v>89</v>
      </c>
      <c r="K29" s="12"/>
      <c r="L29" s="12"/>
    </row>
    <row r="30" spans="1:12" x14ac:dyDescent="0.25">
      <c r="A30" s="9">
        <v>29</v>
      </c>
      <c r="B30" s="9" t="s">
        <v>354</v>
      </c>
      <c r="C30" s="10" t="s">
        <v>369</v>
      </c>
      <c r="D30" s="9" t="s">
        <v>312</v>
      </c>
      <c r="E30" s="9" t="s">
        <v>360</v>
      </c>
      <c r="F30" s="9"/>
      <c r="G30" s="9" t="str">
        <f>IF(OR(E30="",E30="No SASB category"),"",IFERROR(INDEX('SASB categories'!$A$2:$A$27,MATCH(E30,'SASB categories'!$B$2:$B$27,0)),"check name"))</f>
        <v>Social Capital</v>
      </c>
      <c r="H30" s="9" t="s">
        <v>125</v>
      </c>
      <c r="I30" s="9"/>
      <c r="J30" s="12" t="s">
        <v>89</v>
      </c>
      <c r="K30" s="12"/>
      <c r="L30" s="12"/>
    </row>
    <row r="31" spans="1:12" x14ac:dyDescent="0.25">
      <c r="A31" s="9">
        <v>30</v>
      </c>
      <c r="B31" s="9" t="s">
        <v>354</v>
      </c>
      <c r="C31" s="10" t="s">
        <v>370</v>
      </c>
      <c r="D31" s="9" t="s">
        <v>312</v>
      </c>
      <c r="E31" s="9" t="s">
        <v>360</v>
      </c>
      <c r="F31" s="9" t="s">
        <v>371</v>
      </c>
      <c r="G31" s="9" t="str">
        <f>IF(OR(E31="",E31="No SASB category"),"",IFERROR(INDEX('SASB categories'!$A$2:$A$27,MATCH(E31,'SASB categories'!$B$2:$B$27,0)),"check name"))</f>
        <v>Social Capital</v>
      </c>
      <c r="H31" s="9" t="s">
        <v>125</v>
      </c>
      <c r="I31" s="9" t="s">
        <v>372</v>
      </c>
      <c r="J31" s="12" t="s">
        <v>89</v>
      </c>
      <c r="K31" s="12"/>
      <c r="L31" s="12"/>
    </row>
    <row r="32" spans="1:12" x14ac:dyDescent="0.25">
      <c r="A32" s="15">
        <v>31</v>
      </c>
      <c r="B32" s="15" t="s">
        <v>354</v>
      </c>
      <c r="C32" s="16" t="s">
        <v>373</v>
      </c>
      <c r="D32" s="15" t="s">
        <v>326</v>
      </c>
      <c r="E32" s="15" t="s">
        <v>371</v>
      </c>
      <c r="F32" s="15"/>
      <c r="G32" s="15" t="str">
        <f>IF(OR(E32="",E32="No SASB category"),"",IFERROR(INDEX('SASB categories'!$A$2:$A$27,MATCH(E32,'SASB categories'!$B$2:$B$27,0)),"check name"))</f>
        <v>Social Capital</v>
      </c>
      <c r="H32" s="15" t="s">
        <v>84</v>
      </c>
      <c r="I32" s="15" t="s">
        <v>374</v>
      </c>
      <c r="J32" s="12" t="s">
        <v>89</v>
      </c>
      <c r="K32" s="12"/>
      <c r="L32" s="12"/>
    </row>
    <row r="33" spans="1:12" x14ac:dyDescent="0.25">
      <c r="A33" s="15">
        <v>32</v>
      </c>
      <c r="B33" s="15" t="s">
        <v>354</v>
      </c>
      <c r="C33" s="16" t="s">
        <v>375</v>
      </c>
      <c r="D33" s="15" t="s">
        <v>326</v>
      </c>
      <c r="E33" s="15" t="s">
        <v>376</v>
      </c>
      <c r="F33" s="15"/>
      <c r="G33" s="15" t="str">
        <f>IF(OR(E33="",E33="No SASB category"),"",IFERROR(INDEX('SASB categories'!$A$2:$A$27,MATCH(E33,'SASB categories'!$B$2:$B$27,0)),"check name"))</f>
        <v>Social Capital</v>
      </c>
      <c r="H33" s="15" t="s">
        <v>125</v>
      </c>
      <c r="I33" s="15"/>
      <c r="J33" s="12" t="s">
        <v>89</v>
      </c>
      <c r="K33" s="12"/>
      <c r="L33" s="12"/>
    </row>
    <row r="34" spans="1:12" ht="25.5" x14ac:dyDescent="0.25">
      <c r="A34" s="15">
        <v>33</v>
      </c>
      <c r="B34" s="15" t="s">
        <v>354</v>
      </c>
      <c r="C34" s="16" t="s">
        <v>377</v>
      </c>
      <c r="D34" s="15" t="s">
        <v>326</v>
      </c>
      <c r="E34" s="15" t="s">
        <v>371</v>
      </c>
      <c r="F34" s="15" t="s">
        <v>376</v>
      </c>
      <c r="G34" s="15" t="str">
        <f>IF(OR(E34="",E34="No SASB category"),"",IFERROR(INDEX('SASB categories'!$A$2:$A$27,MATCH(E34,'SASB categories'!$B$2:$B$27,0)),"check name"))</f>
        <v>Social Capital</v>
      </c>
      <c r="H34" s="19" t="s">
        <v>158</v>
      </c>
      <c r="I34" s="15" t="s">
        <v>378</v>
      </c>
      <c r="J34" s="12" t="s">
        <v>89</v>
      </c>
      <c r="K34" s="12"/>
      <c r="L34" s="12"/>
    </row>
    <row r="35" spans="1:12" x14ac:dyDescent="0.25">
      <c r="A35" s="9">
        <v>34</v>
      </c>
      <c r="B35" s="9" t="s">
        <v>354</v>
      </c>
      <c r="C35" s="10" t="s">
        <v>379</v>
      </c>
      <c r="D35" s="9" t="s">
        <v>312</v>
      </c>
      <c r="E35" s="9" t="s">
        <v>380</v>
      </c>
      <c r="F35" s="9"/>
      <c r="G35" s="9" t="str">
        <f>IF(OR(E35="",E35="No SASB category"),"",IFERROR(INDEX('SASB categories'!$A$2:$A$27,MATCH(E35,'SASB categories'!$B$2:$B$27,0)),"check name"))</f>
        <v>Social Capital</v>
      </c>
      <c r="H35" s="9" t="s">
        <v>84</v>
      </c>
      <c r="I35" s="9"/>
      <c r="J35" s="12" t="s">
        <v>89</v>
      </c>
      <c r="K35" s="12"/>
      <c r="L35" s="12"/>
    </row>
    <row r="36" spans="1:12" x14ac:dyDescent="0.25">
      <c r="A36" s="9">
        <v>35</v>
      </c>
      <c r="B36" s="9" t="s">
        <v>354</v>
      </c>
      <c r="C36" s="10" t="s">
        <v>381</v>
      </c>
      <c r="D36" s="9" t="s">
        <v>312</v>
      </c>
      <c r="E36" s="9" t="s">
        <v>330</v>
      </c>
      <c r="F36" s="9"/>
      <c r="G36" s="9" t="str">
        <f>IF(OR(E36="",E36="No SASB category"),"",IFERROR(INDEX('SASB categories'!$A$2:$A$27,MATCH(E36,'SASB categories'!$B$2:$B$27,0)),"check name"))</f>
        <v/>
      </c>
      <c r="H36" s="9" t="s">
        <v>125</v>
      </c>
      <c r="I36" s="9" t="s">
        <v>382</v>
      </c>
      <c r="J36" s="12" t="s">
        <v>89</v>
      </c>
      <c r="K36" s="12"/>
      <c r="L36" s="12"/>
    </row>
    <row r="37" spans="1:12" ht="25.5" x14ac:dyDescent="0.25">
      <c r="A37" s="9">
        <v>36</v>
      </c>
      <c r="B37" s="9" t="s">
        <v>354</v>
      </c>
      <c r="C37" s="10" t="s">
        <v>383</v>
      </c>
      <c r="D37" s="9" t="s">
        <v>312</v>
      </c>
      <c r="E37" s="9" t="s">
        <v>330</v>
      </c>
      <c r="F37" s="9"/>
      <c r="G37" s="9" t="str">
        <f>IF(OR(E37="",E37="No SASB category"),"",IFERROR(INDEX('SASB categories'!$A$2:$A$27,MATCH(E37,'SASB categories'!$B$2:$B$27,0)),"check name"))</f>
        <v/>
      </c>
      <c r="H37" s="9" t="s">
        <v>125</v>
      </c>
      <c r="I37" s="14" t="s">
        <v>384</v>
      </c>
      <c r="J37" s="12" t="s">
        <v>89</v>
      </c>
      <c r="K37" s="12"/>
      <c r="L37" s="12"/>
    </row>
    <row r="38" spans="1:12" ht="25.5" x14ac:dyDescent="0.25">
      <c r="A38" s="17">
        <v>37</v>
      </c>
      <c r="B38" s="17" t="s">
        <v>354</v>
      </c>
      <c r="C38" s="18" t="s">
        <v>385</v>
      </c>
      <c r="D38" s="17" t="s">
        <v>386</v>
      </c>
      <c r="E38" s="17"/>
      <c r="F38" s="17"/>
      <c r="G38" s="17" t="str">
        <f>IF(OR(E38="",E38="No SASB category"),"",IFERROR(INDEX('SASB categories'!$A$2:$A$27,MATCH(E38,'SASB categories'!$B$2:$B$27,0)),"check name"))</f>
        <v/>
      </c>
      <c r="H38" s="17"/>
      <c r="I38" s="14" t="s">
        <v>387</v>
      </c>
      <c r="J38" s="12" t="s">
        <v>89</v>
      </c>
      <c r="K38" s="12"/>
      <c r="L38" s="12"/>
    </row>
    <row r="39" spans="1:12" x14ac:dyDescent="0.25">
      <c r="A39" s="15">
        <v>38</v>
      </c>
      <c r="B39" s="15" t="s">
        <v>354</v>
      </c>
      <c r="C39" s="16" t="s">
        <v>388</v>
      </c>
      <c r="D39" s="15" t="s">
        <v>326</v>
      </c>
      <c r="E39" s="15" t="s">
        <v>371</v>
      </c>
      <c r="F39" s="15"/>
      <c r="G39" s="15" t="str">
        <f>IF(OR(E39="",E39="No SASB category"),"",IFERROR(INDEX('SASB categories'!$A$2:$A$27,MATCH(E39,'SASB categories'!$B$2:$B$27,0)),"check name"))</f>
        <v>Social Capital</v>
      </c>
      <c r="H39" s="15" t="s">
        <v>84</v>
      </c>
      <c r="I39" s="15" t="s">
        <v>389</v>
      </c>
      <c r="J39" s="12" t="s">
        <v>89</v>
      </c>
      <c r="K39" s="12"/>
      <c r="L39" s="12"/>
    </row>
    <row r="40" spans="1:12" ht="25.5" x14ac:dyDescent="0.25">
      <c r="A40" s="9">
        <v>39</v>
      </c>
      <c r="B40" s="9" t="s">
        <v>354</v>
      </c>
      <c r="C40" s="10" t="s">
        <v>390</v>
      </c>
      <c r="D40" s="9" t="s">
        <v>312</v>
      </c>
      <c r="E40" s="9" t="s">
        <v>371</v>
      </c>
      <c r="F40" s="9"/>
      <c r="G40" s="9" t="str">
        <f>IF(OR(E40="",E40="No SASB category"),"",IFERROR(INDEX('SASB categories'!$A$2:$A$27,MATCH(E40,'SASB categories'!$B$2:$B$27,0)),"check name"))</f>
        <v>Social Capital</v>
      </c>
      <c r="H40" s="20" t="s">
        <v>158</v>
      </c>
      <c r="I40" s="9" t="s">
        <v>391</v>
      </c>
      <c r="J40" s="12" t="s">
        <v>89</v>
      </c>
      <c r="K40" s="12"/>
      <c r="L40" s="12"/>
    </row>
    <row r="41" spans="1:12" ht="25.5" x14ac:dyDescent="0.25">
      <c r="A41" s="9">
        <v>40</v>
      </c>
      <c r="B41" s="9" t="s">
        <v>354</v>
      </c>
      <c r="C41" s="10" t="s">
        <v>392</v>
      </c>
      <c r="D41" s="9" t="s">
        <v>312</v>
      </c>
      <c r="E41" s="9" t="s">
        <v>393</v>
      </c>
      <c r="F41" s="9"/>
      <c r="G41" s="9" t="str">
        <f>IF(OR(E41="",E41="No SASB category"),"",IFERROR(INDEX('SASB categories'!$A$2:$A$27,MATCH(E41,'SASB categories'!$B$2:$B$27,0)),"check name"))</f>
        <v>Business Model &amp; Innovation</v>
      </c>
      <c r="H41" s="9" t="s">
        <v>84</v>
      </c>
      <c r="I41" s="9"/>
      <c r="J41" s="12" t="s">
        <v>89</v>
      </c>
      <c r="K41" s="12"/>
      <c r="L41" s="12"/>
    </row>
    <row r="42" spans="1:12" ht="25.5" x14ac:dyDescent="0.25">
      <c r="A42" s="9">
        <v>41</v>
      </c>
      <c r="B42" s="9" t="s">
        <v>394</v>
      </c>
      <c r="C42" s="10" t="s">
        <v>395</v>
      </c>
      <c r="D42" s="9" t="s">
        <v>312</v>
      </c>
      <c r="E42" s="9" t="s">
        <v>330</v>
      </c>
      <c r="F42" s="9"/>
      <c r="G42" s="9" t="str">
        <f>IF(OR(E42="",E42="No SASB category"),"",IFERROR(INDEX('SASB categories'!$A$2:$A$27,MATCH(E42,'SASB categories'!$B$2:$B$27,0)),"check name"))</f>
        <v/>
      </c>
      <c r="H42" s="9" t="s">
        <v>84</v>
      </c>
      <c r="I42" s="9" t="s">
        <v>396</v>
      </c>
      <c r="J42" s="12" t="s">
        <v>89</v>
      </c>
      <c r="K42" s="12"/>
      <c r="L42" s="12"/>
    </row>
    <row r="43" spans="1:12" x14ac:dyDescent="0.25">
      <c r="A43" s="9">
        <v>42</v>
      </c>
      <c r="B43" s="9" t="s">
        <v>394</v>
      </c>
      <c r="C43" s="10" t="s">
        <v>397</v>
      </c>
      <c r="D43" s="9" t="s">
        <v>312</v>
      </c>
      <c r="E43" s="9" t="s">
        <v>330</v>
      </c>
      <c r="F43" s="9"/>
      <c r="G43" s="9" t="str">
        <f>IF(OR(E43="",E43="No SASB category"),"",IFERROR(INDEX('SASB categories'!$A$2:$A$27,MATCH(E43,'SASB categories'!$B$2:$B$27,0)),"check name"))</f>
        <v/>
      </c>
      <c r="H43" s="9" t="s">
        <v>84</v>
      </c>
      <c r="I43" s="9" t="s">
        <v>398</v>
      </c>
      <c r="J43" s="12" t="s">
        <v>89</v>
      </c>
      <c r="K43" s="12"/>
      <c r="L43" s="12"/>
    </row>
    <row r="44" spans="1:12" x14ac:dyDescent="0.25">
      <c r="A44" s="9">
        <v>43</v>
      </c>
      <c r="B44" s="9" t="s">
        <v>394</v>
      </c>
      <c r="C44" s="10" t="s">
        <v>399</v>
      </c>
      <c r="D44" s="9" t="s">
        <v>312</v>
      </c>
      <c r="E44" s="9" t="s">
        <v>330</v>
      </c>
      <c r="F44" s="9"/>
      <c r="G44" s="9" t="str">
        <f>IF(OR(E44="",E44="No SASB category"),"",IFERROR(INDEX('SASB categories'!$A$2:$A$27,MATCH(E44,'SASB categories'!$B$2:$B$27,0)),"check name"))</f>
        <v/>
      </c>
      <c r="H44" s="9" t="s">
        <v>84</v>
      </c>
      <c r="I44" s="9" t="s">
        <v>398</v>
      </c>
      <c r="J44" s="12" t="s">
        <v>89</v>
      </c>
      <c r="K44" s="12"/>
      <c r="L44" s="12"/>
    </row>
    <row r="45" spans="1:12" x14ac:dyDescent="0.25">
      <c r="A45" s="9">
        <v>44</v>
      </c>
      <c r="B45" s="9" t="s">
        <v>394</v>
      </c>
      <c r="C45" s="10" t="s">
        <v>400</v>
      </c>
      <c r="D45" s="9" t="s">
        <v>312</v>
      </c>
      <c r="E45" s="9" t="s">
        <v>330</v>
      </c>
      <c r="F45" s="9"/>
      <c r="G45" s="9" t="str">
        <f>IF(OR(E45="",E45="No SASB category"),"",IFERROR(INDEX('SASB categories'!$A$2:$A$27,MATCH(E45,'SASB categories'!$B$2:$B$27,0)),"check name"))</f>
        <v/>
      </c>
      <c r="H45" s="9" t="s">
        <v>84</v>
      </c>
      <c r="I45" s="9" t="s">
        <v>398</v>
      </c>
      <c r="J45" s="12" t="s">
        <v>89</v>
      </c>
      <c r="K45" s="12"/>
      <c r="L45" s="12"/>
    </row>
    <row r="46" spans="1:12" x14ac:dyDescent="0.25">
      <c r="A46" s="9">
        <v>45</v>
      </c>
      <c r="B46" s="9" t="s">
        <v>394</v>
      </c>
      <c r="C46" s="10" t="s">
        <v>401</v>
      </c>
      <c r="D46" s="9" t="s">
        <v>312</v>
      </c>
      <c r="E46" s="9" t="s">
        <v>330</v>
      </c>
      <c r="F46" s="9"/>
      <c r="G46" s="9" t="str">
        <f>IF(OR(E46="",E46="No SASB category"),"",IFERROR(INDEX('SASB categories'!$A$2:$A$27,MATCH(E46,'SASB categories'!$B$2:$B$27,0)),"check name"))</f>
        <v/>
      </c>
      <c r="H46" s="9" t="s">
        <v>84</v>
      </c>
      <c r="I46" s="9" t="s">
        <v>398</v>
      </c>
      <c r="J46" s="12" t="s">
        <v>89</v>
      </c>
      <c r="K46" s="12"/>
      <c r="L46" s="12"/>
    </row>
    <row r="47" spans="1:12" x14ac:dyDescent="0.25">
      <c r="A47" s="9">
        <v>46</v>
      </c>
      <c r="B47" s="9" t="s">
        <v>394</v>
      </c>
      <c r="C47" s="10" t="s">
        <v>402</v>
      </c>
      <c r="D47" s="9" t="s">
        <v>312</v>
      </c>
      <c r="E47" s="9" t="s">
        <v>330</v>
      </c>
      <c r="F47" s="9"/>
      <c r="G47" s="9" t="str">
        <f>IF(OR(E47="",E47="No SASB category"),"",IFERROR(INDEX('SASB categories'!$A$2:$A$27,MATCH(E47,'SASB categories'!$B$2:$B$27,0)),"check name"))</f>
        <v/>
      </c>
      <c r="H47" s="9" t="s">
        <v>125</v>
      </c>
      <c r="I47" s="9" t="s">
        <v>403</v>
      </c>
      <c r="J47" s="12" t="s">
        <v>89</v>
      </c>
      <c r="K47" s="12"/>
      <c r="L47" s="12"/>
    </row>
    <row r="48" spans="1:12" x14ac:dyDescent="0.25">
      <c r="A48" s="9">
        <v>47</v>
      </c>
      <c r="B48" s="9" t="s">
        <v>394</v>
      </c>
      <c r="C48" s="10" t="s">
        <v>404</v>
      </c>
      <c r="D48" s="9" t="s">
        <v>312</v>
      </c>
      <c r="E48" s="9" t="s">
        <v>330</v>
      </c>
      <c r="F48" s="9"/>
      <c r="G48" s="9" t="str">
        <f>IF(OR(E48="",E48="No SASB category"),"",IFERROR(INDEX('SASB categories'!$A$2:$A$27,MATCH(E48,'SASB categories'!$B$2:$B$27,0)),"check name"))</f>
        <v/>
      </c>
      <c r="H48" s="9" t="s">
        <v>125</v>
      </c>
      <c r="I48" s="9" t="s">
        <v>405</v>
      </c>
      <c r="J48" s="12" t="s">
        <v>89</v>
      </c>
      <c r="K48" s="12"/>
      <c r="L48" s="12"/>
    </row>
    <row r="49" spans="1:12" ht="25.5" x14ac:dyDescent="0.25">
      <c r="A49" s="9">
        <v>48</v>
      </c>
      <c r="B49" s="9" t="s">
        <v>394</v>
      </c>
      <c r="C49" s="10" t="s">
        <v>406</v>
      </c>
      <c r="D49" s="9" t="s">
        <v>312</v>
      </c>
      <c r="E49" s="9" t="s">
        <v>407</v>
      </c>
      <c r="F49" s="9"/>
      <c r="G49" s="9" t="str">
        <f>IF(OR(E49="",E49="No SASB category"),"",IFERROR(INDEX('SASB categories'!$A$2:$A$27,MATCH(E49,'SASB categories'!$B$2:$B$27,0)),"check name"))</f>
        <v>Leadership &amp; Governance</v>
      </c>
      <c r="H49" s="9" t="s">
        <v>84</v>
      </c>
      <c r="I49" s="9"/>
      <c r="J49" s="12" t="s">
        <v>89</v>
      </c>
      <c r="K49" s="12"/>
      <c r="L49" s="12"/>
    </row>
    <row r="50" spans="1:12" ht="25.5" x14ac:dyDescent="0.25">
      <c r="A50" s="9">
        <v>49</v>
      </c>
      <c r="B50" s="9" t="s">
        <v>394</v>
      </c>
      <c r="C50" s="10" t="s">
        <v>408</v>
      </c>
      <c r="D50" s="9" t="s">
        <v>312</v>
      </c>
      <c r="E50" s="9" t="s">
        <v>407</v>
      </c>
      <c r="F50" s="9"/>
      <c r="G50" s="9" t="str">
        <f>IF(OR(E50="",E50="No SASB category"),"",IFERROR(INDEX('SASB categories'!$A$2:$A$27,MATCH(E50,'SASB categories'!$B$2:$B$27,0)),"check name"))</f>
        <v>Leadership &amp; Governance</v>
      </c>
      <c r="H50" s="9" t="s">
        <v>84</v>
      </c>
      <c r="I50" s="9"/>
      <c r="J50" s="12" t="s">
        <v>89</v>
      </c>
      <c r="K50" s="12"/>
      <c r="L50" s="12"/>
    </row>
    <row r="51" spans="1:12" ht="25.5" x14ac:dyDescent="0.25">
      <c r="A51" s="9">
        <v>50</v>
      </c>
      <c r="B51" s="9" t="s">
        <v>394</v>
      </c>
      <c r="C51" s="10" t="s">
        <v>409</v>
      </c>
      <c r="D51" s="9" t="s">
        <v>312</v>
      </c>
      <c r="E51" s="9" t="s">
        <v>407</v>
      </c>
      <c r="F51" s="9"/>
      <c r="G51" s="9" t="str">
        <f>IF(OR(E51="",E51="No SASB category"),"",IFERROR(INDEX('SASB categories'!$A$2:$A$27,MATCH(E51,'SASB categories'!$B$2:$B$27,0)),"check name"))</f>
        <v>Leadership &amp; Governance</v>
      </c>
      <c r="H51" s="9" t="s">
        <v>84</v>
      </c>
      <c r="I51" s="9"/>
      <c r="J51" s="12" t="s">
        <v>89</v>
      </c>
      <c r="K51" s="12"/>
      <c r="L51" s="12"/>
    </row>
    <row r="52" spans="1:12" ht="25.5" x14ac:dyDescent="0.25">
      <c r="A52" s="9">
        <v>51</v>
      </c>
      <c r="B52" s="9" t="s">
        <v>394</v>
      </c>
      <c r="C52" s="10" t="s">
        <v>410</v>
      </c>
      <c r="D52" s="9" t="s">
        <v>312</v>
      </c>
      <c r="E52" s="9" t="s">
        <v>407</v>
      </c>
      <c r="F52" s="9"/>
      <c r="G52" s="9" t="str">
        <f>IF(OR(E52="",E52="No SASB category"),"",IFERROR(INDEX('SASB categories'!$A$2:$A$27,MATCH(E52,'SASB categories'!$B$2:$B$27,0)),"check name"))</f>
        <v>Leadership &amp; Governance</v>
      </c>
      <c r="H52" s="9" t="s">
        <v>84</v>
      </c>
      <c r="I52" s="9"/>
      <c r="J52" s="12" t="s">
        <v>89</v>
      </c>
      <c r="K52" s="12"/>
      <c r="L52" s="12"/>
    </row>
    <row r="53" spans="1:12" x14ac:dyDescent="0.25">
      <c r="A53" s="9">
        <v>52</v>
      </c>
      <c r="B53" s="9" t="s">
        <v>394</v>
      </c>
      <c r="C53" s="10" t="s">
        <v>411</v>
      </c>
      <c r="D53" s="9" t="s">
        <v>312</v>
      </c>
      <c r="E53" s="9" t="s">
        <v>330</v>
      </c>
      <c r="F53" s="9"/>
      <c r="G53" s="9" t="str">
        <f>IF(OR(E53="",E53="No SASB category"),"",IFERROR(INDEX('SASB categories'!$A$2:$A$27,MATCH(E53,'SASB categories'!$B$2:$B$27,0)),"check name"))</f>
        <v/>
      </c>
      <c r="H53" s="9" t="s">
        <v>84</v>
      </c>
      <c r="I53" s="9" t="s">
        <v>412</v>
      </c>
      <c r="J53" s="12" t="s">
        <v>89</v>
      </c>
      <c r="K53" s="12"/>
      <c r="L53" s="12"/>
    </row>
    <row r="54" spans="1:12" x14ac:dyDescent="0.25">
      <c r="A54" s="9">
        <v>53</v>
      </c>
      <c r="B54" s="9" t="s">
        <v>394</v>
      </c>
      <c r="C54" s="10" t="s">
        <v>413</v>
      </c>
      <c r="D54" s="9" t="s">
        <v>312</v>
      </c>
      <c r="E54" s="9" t="s">
        <v>330</v>
      </c>
      <c r="F54" s="9"/>
      <c r="G54" s="9" t="str">
        <f>IF(OR(E54="",E54="No SASB category"),"",IFERROR(INDEX('SASB categories'!$A$2:$A$27,MATCH(E54,'SASB categories'!$B$2:$B$27,0)),"check name"))</f>
        <v/>
      </c>
      <c r="H54" s="9" t="s">
        <v>84</v>
      </c>
      <c r="I54" s="9" t="s">
        <v>398</v>
      </c>
      <c r="J54" s="12" t="s">
        <v>89</v>
      </c>
      <c r="K54" s="12"/>
      <c r="L54" s="12"/>
    </row>
    <row r="55" spans="1:12" x14ac:dyDescent="0.25">
      <c r="A55" s="9">
        <v>54</v>
      </c>
      <c r="B55" s="9" t="s">
        <v>394</v>
      </c>
      <c r="C55" s="10" t="s">
        <v>414</v>
      </c>
      <c r="D55" s="9" t="s">
        <v>312</v>
      </c>
      <c r="E55" s="9" t="s">
        <v>330</v>
      </c>
      <c r="F55" s="9"/>
      <c r="G55" s="9" t="str">
        <f>IF(OR(E55="",E55="No SASB category"),"",IFERROR(INDEX('SASB categories'!$A$2:$A$27,MATCH(E55,'SASB categories'!$B$2:$B$27,0)),"check name"))</f>
        <v/>
      </c>
      <c r="H55" s="9" t="s">
        <v>84</v>
      </c>
      <c r="I55" s="9" t="s">
        <v>415</v>
      </c>
      <c r="J55" s="12" t="s">
        <v>89</v>
      </c>
      <c r="K55" s="12"/>
      <c r="L55" s="12"/>
    </row>
    <row r="56" spans="1:12" ht="25.5" x14ac:dyDescent="0.25">
      <c r="A56" s="9">
        <v>55</v>
      </c>
      <c r="B56" s="9" t="s">
        <v>394</v>
      </c>
      <c r="C56" s="10" t="s">
        <v>416</v>
      </c>
      <c r="D56" s="9" t="s">
        <v>312</v>
      </c>
      <c r="E56" s="9" t="s">
        <v>330</v>
      </c>
      <c r="F56" s="9"/>
      <c r="G56" s="9" t="str">
        <f>IF(OR(E56="",E56="No SASB category"),"",IFERROR(INDEX('SASB categories'!$A$2:$A$27,MATCH(E56,'SASB categories'!$B$2:$B$27,0)),"check name"))</f>
        <v/>
      </c>
      <c r="H56" s="9" t="s">
        <v>84</v>
      </c>
      <c r="I56" s="9" t="s">
        <v>398</v>
      </c>
      <c r="J56" s="12" t="s">
        <v>89</v>
      </c>
      <c r="K56" s="12"/>
      <c r="L56" s="12"/>
    </row>
    <row r="57" spans="1:12" x14ac:dyDescent="0.25">
      <c r="A57" s="9">
        <v>56</v>
      </c>
      <c r="B57" s="9" t="s">
        <v>394</v>
      </c>
      <c r="C57" s="10" t="s">
        <v>417</v>
      </c>
      <c r="D57" s="9" t="s">
        <v>312</v>
      </c>
      <c r="E57" s="9" t="s">
        <v>330</v>
      </c>
      <c r="F57" s="9"/>
      <c r="G57" s="9" t="str">
        <f>IF(OR(E57="",E57="No SASB category"),"",IFERROR(INDEX('SASB categories'!$A$2:$A$27,MATCH(E57,'SASB categories'!$B$2:$B$27,0)),"check name"))</f>
        <v/>
      </c>
      <c r="H57" s="9" t="s">
        <v>84</v>
      </c>
      <c r="I57" s="9" t="s">
        <v>398</v>
      </c>
      <c r="J57" s="12" t="s">
        <v>89</v>
      </c>
      <c r="K57" s="12"/>
      <c r="L57" s="12"/>
    </row>
    <row r="58" spans="1:12" x14ac:dyDescent="0.25">
      <c r="A58" s="9">
        <v>57</v>
      </c>
      <c r="B58" s="9" t="s">
        <v>394</v>
      </c>
      <c r="C58" s="10" t="s">
        <v>418</v>
      </c>
      <c r="D58" s="9" t="s">
        <v>312</v>
      </c>
      <c r="E58" s="9" t="s">
        <v>330</v>
      </c>
      <c r="F58" s="9"/>
      <c r="G58" s="9" t="str">
        <f>IF(OR(E58="",E58="No SASB category"),"",IFERROR(INDEX('SASB categories'!$A$2:$A$27,MATCH(E58,'SASB categories'!$B$2:$B$27,0)),"check name"))</f>
        <v/>
      </c>
      <c r="H58" s="9" t="s">
        <v>84</v>
      </c>
      <c r="I58" s="9" t="s">
        <v>398</v>
      </c>
      <c r="J58" s="12" t="s">
        <v>89</v>
      </c>
      <c r="K58" s="12"/>
      <c r="L58" s="12"/>
    </row>
    <row r="59" spans="1:12" ht="25.5" x14ac:dyDescent="0.25">
      <c r="A59" s="9">
        <v>58</v>
      </c>
      <c r="B59" s="9" t="s">
        <v>394</v>
      </c>
      <c r="C59" s="10" t="s">
        <v>419</v>
      </c>
      <c r="D59" s="9" t="s">
        <v>312</v>
      </c>
      <c r="E59" s="9" t="s">
        <v>330</v>
      </c>
      <c r="F59" s="9"/>
      <c r="G59" s="9" t="str">
        <f>IF(OR(E59="",E59="No SASB category"),"",IFERROR(INDEX('SASB categories'!$A$2:$A$27,MATCH(E59,'SASB categories'!$B$2:$B$27,0)),"check name"))</f>
        <v/>
      </c>
      <c r="H59" s="9" t="s">
        <v>125</v>
      </c>
      <c r="I59" s="9" t="s">
        <v>420</v>
      </c>
      <c r="J59" s="12" t="s">
        <v>89</v>
      </c>
      <c r="K59" s="12"/>
      <c r="L59" s="12"/>
    </row>
    <row r="60" spans="1:12" x14ac:dyDescent="0.25">
      <c r="A60" s="9">
        <v>59</v>
      </c>
      <c r="B60" s="9" t="s">
        <v>394</v>
      </c>
      <c r="C60" s="10" t="s">
        <v>421</v>
      </c>
      <c r="D60" s="9" t="s">
        <v>312</v>
      </c>
      <c r="E60" s="9" t="s">
        <v>330</v>
      </c>
      <c r="F60" s="9"/>
      <c r="G60" s="9" t="str">
        <f>IF(OR(E60="",E60="No SASB category"),"",IFERROR(INDEX('SASB categories'!$A$2:$A$27,MATCH(E60,'SASB categories'!$B$2:$B$27,0)),"check name"))</f>
        <v/>
      </c>
      <c r="H60" s="9" t="s">
        <v>125</v>
      </c>
      <c r="I60" s="9" t="s">
        <v>398</v>
      </c>
      <c r="J60" s="12" t="s">
        <v>89</v>
      </c>
      <c r="K60" s="12"/>
      <c r="L60" s="12"/>
    </row>
    <row r="61" spans="1:12" x14ac:dyDescent="0.25">
      <c r="A61" s="9">
        <v>60</v>
      </c>
      <c r="B61" s="9" t="s">
        <v>394</v>
      </c>
      <c r="C61" s="10" t="s">
        <v>422</v>
      </c>
      <c r="D61" s="9" t="s">
        <v>312</v>
      </c>
      <c r="E61" s="9" t="s">
        <v>423</v>
      </c>
      <c r="F61" s="9"/>
      <c r="G61" s="9" t="str">
        <f>IF(OR(E61="",E61="No SASB category"),"",IFERROR(INDEX('SASB categories'!$A$2:$A$27,MATCH(E61,'SASB categories'!$B$2:$B$27,0)),"check name"))</f>
        <v>Social Capital</v>
      </c>
      <c r="H61" s="20" t="s">
        <v>158</v>
      </c>
      <c r="I61" s="9"/>
      <c r="J61" s="12" t="s">
        <v>89</v>
      </c>
      <c r="K61" s="12"/>
      <c r="L61" s="12"/>
    </row>
    <row r="62" spans="1:12" x14ac:dyDescent="0.25">
      <c r="A62" s="9">
        <v>61</v>
      </c>
      <c r="B62" s="9" t="s">
        <v>394</v>
      </c>
      <c r="C62" s="10" t="s">
        <v>424</v>
      </c>
      <c r="D62" s="9" t="s">
        <v>312</v>
      </c>
      <c r="E62" s="9" t="s">
        <v>423</v>
      </c>
      <c r="F62" s="9"/>
      <c r="G62" s="9" t="str">
        <f>IF(OR(E62="",E62="No SASB category"),"",IFERROR(INDEX('SASB categories'!$A$2:$A$27,MATCH(E62,'SASB categories'!$B$2:$B$27,0)),"check name"))</f>
        <v>Social Capital</v>
      </c>
      <c r="H62" s="9" t="s">
        <v>84</v>
      </c>
      <c r="I62" s="9"/>
      <c r="J62" s="12" t="s">
        <v>89</v>
      </c>
      <c r="K62" s="12"/>
      <c r="L62" s="12"/>
    </row>
    <row r="63" spans="1:12" x14ac:dyDescent="0.25">
      <c r="A63" s="9">
        <v>62</v>
      </c>
      <c r="B63" s="9" t="s">
        <v>394</v>
      </c>
      <c r="C63" s="10" t="s">
        <v>425</v>
      </c>
      <c r="D63" s="9" t="s">
        <v>312</v>
      </c>
      <c r="E63" s="9" t="s">
        <v>423</v>
      </c>
      <c r="F63" s="9"/>
      <c r="G63" s="9" t="str">
        <f>IF(OR(E63="",E63="No SASB category"),"",IFERROR(INDEX('SASB categories'!$A$2:$A$27,MATCH(E63,'SASB categories'!$B$2:$B$27,0)),"check name"))</f>
        <v>Social Capital</v>
      </c>
      <c r="H63" s="9" t="s">
        <v>84</v>
      </c>
      <c r="I63" s="9"/>
      <c r="J63" s="12" t="s">
        <v>89</v>
      </c>
      <c r="K63" s="12"/>
      <c r="L63" s="12"/>
    </row>
    <row r="64" spans="1:12" x14ac:dyDescent="0.25">
      <c r="A64" s="9">
        <v>63</v>
      </c>
      <c r="B64" s="9" t="s">
        <v>394</v>
      </c>
      <c r="C64" s="10" t="s">
        <v>426</v>
      </c>
      <c r="D64" s="9" t="s">
        <v>312</v>
      </c>
      <c r="E64" s="9" t="s">
        <v>380</v>
      </c>
      <c r="F64" s="9" t="s">
        <v>423</v>
      </c>
      <c r="G64" s="9" t="str">
        <f>IF(OR(E64="",E64="No SASB category"),"",IFERROR(INDEX('SASB categories'!$A$2:$A$27,MATCH(E64,'SASB categories'!$B$2:$B$27,0)),"check name"))</f>
        <v>Social Capital</v>
      </c>
      <c r="H64" s="9" t="s">
        <v>84</v>
      </c>
      <c r="I64" s="9"/>
      <c r="J64" s="12" t="s">
        <v>89</v>
      </c>
      <c r="K64" s="12"/>
      <c r="L64" s="12"/>
    </row>
    <row r="65" spans="1:12" ht="25.5" x14ac:dyDescent="0.25">
      <c r="A65" s="9">
        <v>64</v>
      </c>
      <c r="B65" s="9" t="s">
        <v>394</v>
      </c>
      <c r="C65" s="10" t="s">
        <v>427</v>
      </c>
      <c r="D65" s="9" t="s">
        <v>312</v>
      </c>
      <c r="E65" s="9" t="s">
        <v>407</v>
      </c>
      <c r="F65" s="9"/>
      <c r="G65" s="9" t="str">
        <f>IF(OR(E65="",E65="No SASB category"),"",IFERROR(INDEX('SASB categories'!$A$2:$A$27,MATCH(E65,'SASB categories'!$B$2:$B$27,0)),"check name"))</f>
        <v>Leadership &amp; Governance</v>
      </c>
      <c r="H65" s="9" t="s">
        <v>125</v>
      </c>
      <c r="I65" s="9"/>
      <c r="J65" s="12" t="s">
        <v>89</v>
      </c>
      <c r="K65" s="12"/>
      <c r="L65" s="12"/>
    </row>
    <row r="66" spans="1:12" x14ac:dyDescent="0.25">
      <c r="A66" s="9">
        <v>65</v>
      </c>
      <c r="B66" s="9" t="s">
        <v>394</v>
      </c>
      <c r="C66" s="10" t="s">
        <v>428</v>
      </c>
      <c r="D66" s="9" t="s">
        <v>312</v>
      </c>
      <c r="E66" s="9" t="s">
        <v>330</v>
      </c>
      <c r="F66" s="9"/>
      <c r="G66" s="9" t="str">
        <f>IF(OR(E66="",E66="No SASB category"),"",IFERROR(INDEX('SASB categories'!$A$2:$A$27,MATCH(E66,'SASB categories'!$B$2:$B$27,0)),"check name"))</f>
        <v/>
      </c>
      <c r="H66" s="9" t="s">
        <v>84</v>
      </c>
      <c r="I66" s="9" t="s">
        <v>412</v>
      </c>
      <c r="J66" s="12" t="s">
        <v>89</v>
      </c>
      <c r="K66" s="12"/>
      <c r="L66" s="12"/>
    </row>
    <row r="67" spans="1:12" x14ac:dyDescent="0.25">
      <c r="A67" s="9">
        <v>66</v>
      </c>
      <c r="B67" s="9" t="s">
        <v>394</v>
      </c>
      <c r="C67" s="10" t="s">
        <v>429</v>
      </c>
      <c r="D67" s="9" t="s">
        <v>312</v>
      </c>
      <c r="E67" s="9" t="s">
        <v>330</v>
      </c>
      <c r="F67" s="9"/>
      <c r="G67" s="9" t="str">
        <f>IF(OR(E67="",E67="No SASB category"),"",IFERROR(INDEX('SASB categories'!$A$2:$A$27,MATCH(E67,'SASB categories'!$B$2:$B$27,0)),"check name"))</f>
        <v/>
      </c>
      <c r="H67" s="9" t="s">
        <v>84</v>
      </c>
      <c r="I67" s="9" t="s">
        <v>430</v>
      </c>
      <c r="J67" s="12" t="s">
        <v>89</v>
      </c>
      <c r="K67" s="12"/>
      <c r="L67" s="12"/>
    </row>
    <row r="68" spans="1:12" ht="25.5" x14ac:dyDescent="0.25">
      <c r="A68" s="15">
        <v>67</v>
      </c>
      <c r="B68" s="15" t="s">
        <v>394</v>
      </c>
      <c r="C68" s="16" t="s">
        <v>431</v>
      </c>
      <c r="D68" s="15" t="s">
        <v>326</v>
      </c>
      <c r="E68" s="15" t="s">
        <v>407</v>
      </c>
      <c r="F68" s="15"/>
      <c r="G68" s="15" t="str">
        <f>IF(OR(E68="",E68="No SASB category"),"",IFERROR(INDEX('SASB categories'!$A$2:$A$27,MATCH(E68,'SASB categories'!$B$2:$B$27,0)),"check name"))</f>
        <v>Leadership &amp; Governance</v>
      </c>
      <c r="H68" s="15" t="s">
        <v>125</v>
      </c>
      <c r="I68" s="15" t="s">
        <v>432</v>
      </c>
      <c r="J68" s="12" t="s">
        <v>89</v>
      </c>
      <c r="K68" s="12"/>
      <c r="L68" s="12"/>
    </row>
  </sheetData>
  <autoFilter ref="A1:L68" xr:uid="{00000000-0009-0000-0000-000002000000}"/>
  <dataValidations count="1">
    <dataValidation type="list" allowBlank="1" sqref="J2:J68" xr:uid="{00000000-0002-0000-0200-000000000000}">
      <formula1>"Yes,No"</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1000000}">
          <x14:formula1>
            <xm:f>'SASB categories'!$F$2:$F$28</xm:f>
          </x14:formula1>
          <x14:formula2>
            <xm:f>0</xm:f>
          </x14:formula2>
          <xm:sqref>K2:K68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69"/>
  <sheetViews>
    <sheetView zoomScaleNormal="100" workbookViewId="0">
      <pane xSplit="1" ySplit="1" topLeftCell="B150" activePane="bottomRight" state="frozen"/>
      <selection pane="topRight" activeCell="B1" sqref="B1"/>
      <selection pane="bottomLeft" activeCell="A2" sqref="A2"/>
      <selection pane="bottomRight" activeCell="F2" sqref="F2:F169"/>
    </sheetView>
  </sheetViews>
  <sheetFormatPr defaultColWidth="8.7109375" defaultRowHeight="15" x14ac:dyDescent="0.25"/>
  <cols>
    <col min="1" max="1" width="34" customWidth="1"/>
    <col min="2" max="2" width="50" customWidth="1"/>
    <col min="3" max="3" width="40" customWidth="1"/>
    <col min="4" max="4" width="14" customWidth="1"/>
    <col min="5" max="5" width="12" customWidth="1"/>
    <col min="6" max="6" width="14" customWidth="1"/>
    <col min="7" max="7" width="40" customWidth="1"/>
  </cols>
  <sheetData>
    <row r="1" spans="1:7" ht="31.5" customHeight="1" x14ac:dyDescent="0.25">
      <c r="A1" s="7" t="s">
        <v>71</v>
      </c>
      <c r="B1" s="7" t="s">
        <v>433</v>
      </c>
      <c r="C1" s="7" t="s">
        <v>434</v>
      </c>
      <c r="D1" s="7" t="s">
        <v>435</v>
      </c>
      <c r="E1" s="7" t="s">
        <v>436</v>
      </c>
      <c r="F1" s="8" t="s">
        <v>437</v>
      </c>
      <c r="G1" s="8" t="s">
        <v>25</v>
      </c>
    </row>
    <row r="2" spans="1:7" x14ac:dyDescent="0.25">
      <c r="A2" s="10" t="s">
        <v>90</v>
      </c>
      <c r="B2" s="9" t="s">
        <v>423</v>
      </c>
      <c r="C2" s="9" t="s">
        <v>423</v>
      </c>
      <c r="D2" s="11" t="s">
        <v>84</v>
      </c>
      <c r="E2" s="11">
        <f>COUNTIF('Company industries'!$H$2:$H$66,A2)</f>
        <v>18</v>
      </c>
      <c r="F2" s="12" t="s">
        <v>89</v>
      </c>
      <c r="G2" s="12"/>
    </row>
    <row r="3" spans="1:7" x14ac:dyDescent="0.25">
      <c r="A3" s="10" t="s">
        <v>90</v>
      </c>
      <c r="B3" s="9" t="s">
        <v>438</v>
      </c>
      <c r="C3" s="9" t="s">
        <v>371</v>
      </c>
      <c r="D3" s="11" t="s">
        <v>84</v>
      </c>
      <c r="E3" s="11">
        <f>COUNTIF('Company industries'!$H$2:$H$66,A3)</f>
        <v>18</v>
      </c>
      <c r="F3" s="12" t="s">
        <v>89</v>
      </c>
      <c r="G3" s="12"/>
    </row>
    <row r="4" spans="1:7" x14ac:dyDescent="0.25">
      <c r="A4" s="10" t="s">
        <v>90</v>
      </c>
      <c r="B4" s="9" t="s">
        <v>439</v>
      </c>
      <c r="C4" s="9" t="s">
        <v>327</v>
      </c>
      <c r="D4" s="11" t="s">
        <v>125</v>
      </c>
      <c r="E4" s="11">
        <f>COUNTIF('Company industries'!$H$2:$H$66,A4)</f>
        <v>18</v>
      </c>
      <c r="F4" s="12" t="s">
        <v>89</v>
      </c>
      <c r="G4" s="12"/>
    </row>
    <row r="5" spans="1:7" x14ac:dyDescent="0.25">
      <c r="A5" s="10" t="s">
        <v>90</v>
      </c>
      <c r="B5" s="9" t="s">
        <v>440</v>
      </c>
      <c r="C5" s="9" t="s">
        <v>313</v>
      </c>
      <c r="D5" s="11" t="s">
        <v>125</v>
      </c>
      <c r="E5" s="11">
        <f>COUNTIF('Company industries'!$H$2:$H$66,A5)</f>
        <v>18</v>
      </c>
      <c r="F5" s="12" t="s">
        <v>89</v>
      </c>
      <c r="G5" s="12"/>
    </row>
    <row r="6" spans="1:7" x14ac:dyDescent="0.25">
      <c r="A6" s="10" t="s">
        <v>90</v>
      </c>
      <c r="B6" s="9" t="s">
        <v>407</v>
      </c>
      <c r="C6" s="9" t="s">
        <v>407</v>
      </c>
      <c r="D6" s="11" t="s">
        <v>84</v>
      </c>
      <c r="E6" s="11">
        <f>COUNTIF('Company industries'!$H$2:$H$66,A6)</f>
        <v>18</v>
      </c>
      <c r="F6" s="12" t="s">
        <v>89</v>
      </c>
      <c r="G6" s="12"/>
    </row>
    <row r="7" spans="1:7" x14ac:dyDescent="0.25">
      <c r="A7" s="10" t="s">
        <v>90</v>
      </c>
      <c r="B7" s="9" t="s">
        <v>441</v>
      </c>
      <c r="C7" s="9" t="s">
        <v>441</v>
      </c>
      <c r="D7" s="11" t="s">
        <v>84</v>
      </c>
      <c r="E7" s="11">
        <f>COUNTIF('Company industries'!$H$2:$H$66,A7)</f>
        <v>18</v>
      </c>
      <c r="F7" s="12" t="s">
        <v>89</v>
      </c>
      <c r="G7" s="12"/>
    </row>
    <row r="8" spans="1:7" ht="25.5" x14ac:dyDescent="0.25">
      <c r="A8" s="10" t="s">
        <v>270</v>
      </c>
      <c r="B8" s="9" t="s">
        <v>442</v>
      </c>
      <c r="C8" s="9" t="s">
        <v>376</v>
      </c>
      <c r="D8" s="11" t="s">
        <v>84</v>
      </c>
      <c r="E8" s="11">
        <f>COUNTIF('Company industries'!$H$2:$H$66,A8)</f>
        <v>1</v>
      </c>
      <c r="F8" s="12" t="s">
        <v>89</v>
      </c>
      <c r="G8" s="12"/>
    </row>
    <row r="9" spans="1:7" ht="25.5" x14ac:dyDescent="0.25">
      <c r="A9" s="10" t="s">
        <v>270</v>
      </c>
      <c r="B9" s="9" t="s">
        <v>443</v>
      </c>
      <c r="C9" s="9" t="s">
        <v>356</v>
      </c>
      <c r="D9" s="11" t="s">
        <v>84</v>
      </c>
      <c r="E9" s="11">
        <f>COUNTIF('Company industries'!$H$2:$H$66,A9)</f>
        <v>1</v>
      </c>
      <c r="F9" s="12" t="s">
        <v>89</v>
      </c>
      <c r="G9" s="12"/>
    </row>
    <row r="10" spans="1:7" ht="25.5" x14ac:dyDescent="0.25">
      <c r="A10" s="10" t="s">
        <v>270</v>
      </c>
      <c r="B10" s="9" t="s">
        <v>444</v>
      </c>
      <c r="C10" s="9" t="s">
        <v>327</v>
      </c>
      <c r="D10" s="11" t="s">
        <v>125</v>
      </c>
      <c r="E10" s="11">
        <f>COUNTIF('Company industries'!$H$2:$H$66,A10)</f>
        <v>1</v>
      </c>
      <c r="F10" s="12" t="s">
        <v>89</v>
      </c>
      <c r="G10" s="12"/>
    </row>
    <row r="11" spans="1:7" ht="25.5" x14ac:dyDescent="0.25">
      <c r="A11" s="10" t="s">
        <v>270</v>
      </c>
      <c r="B11" s="9" t="s">
        <v>407</v>
      </c>
      <c r="C11" s="9" t="s">
        <v>407</v>
      </c>
      <c r="D11" s="11" t="s">
        <v>84</v>
      </c>
      <c r="E11" s="11">
        <f>COUNTIF('Company industries'!$H$2:$H$66,A11)</f>
        <v>1</v>
      </c>
      <c r="F11" s="12" t="s">
        <v>89</v>
      </c>
      <c r="G11" s="12"/>
    </row>
    <row r="12" spans="1:7" ht="25.5" x14ac:dyDescent="0.25">
      <c r="A12" s="10" t="s">
        <v>270</v>
      </c>
      <c r="B12" s="9" t="s">
        <v>441</v>
      </c>
      <c r="C12" s="9" t="s">
        <v>441</v>
      </c>
      <c r="D12" s="11" t="s">
        <v>84</v>
      </c>
      <c r="E12" s="11">
        <f>COUNTIF('Company industries'!$H$2:$H$66,A12)</f>
        <v>1</v>
      </c>
      <c r="F12" s="12" t="s">
        <v>89</v>
      </c>
      <c r="G12" s="12"/>
    </row>
    <row r="13" spans="1:7" x14ac:dyDescent="0.25">
      <c r="A13" s="10" t="s">
        <v>102</v>
      </c>
      <c r="B13" s="9" t="s">
        <v>445</v>
      </c>
      <c r="C13" s="9" t="s">
        <v>323</v>
      </c>
      <c r="D13" s="11" t="s">
        <v>84</v>
      </c>
      <c r="E13" s="11">
        <f>COUNTIF('Company industries'!$H$2:$H$66,A13)</f>
        <v>9</v>
      </c>
      <c r="F13" s="12" t="s">
        <v>89</v>
      </c>
      <c r="G13" s="12"/>
    </row>
    <row r="14" spans="1:7" x14ac:dyDescent="0.25">
      <c r="A14" s="10" t="s">
        <v>102</v>
      </c>
      <c r="B14" s="9" t="s">
        <v>446</v>
      </c>
      <c r="C14" s="9" t="s">
        <v>380</v>
      </c>
      <c r="D14" s="11" t="s">
        <v>84</v>
      </c>
      <c r="E14" s="11">
        <f>COUNTIF('Company industries'!$H$2:$H$66,A14)</f>
        <v>9</v>
      </c>
      <c r="F14" s="12" t="s">
        <v>89</v>
      </c>
      <c r="G14" s="12"/>
    </row>
    <row r="15" spans="1:7" x14ac:dyDescent="0.25">
      <c r="A15" s="10" t="s">
        <v>102</v>
      </c>
      <c r="B15" s="9" t="s">
        <v>423</v>
      </c>
      <c r="C15" s="9" t="s">
        <v>423</v>
      </c>
      <c r="D15" s="11" t="s">
        <v>84</v>
      </c>
      <c r="E15" s="11">
        <f>COUNTIF('Company industries'!$H$2:$H$66,A15)</f>
        <v>9</v>
      </c>
      <c r="F15" s="12" t="s">
        <v>89</v>
      </c>
      <c r="G15" s="12"/>
    </row>
    <row r="16" spans="1:7" x14ac:dyDescent="0.25">
      <c r="A16" s="10" t="s">
        <v>102</v>
      </c>
      <c r="B16" s="9" t="s">
        <v>447</v>
      </c>
      <c r="C16" s="9" t="s">
        <v>327</v>
      </c>
      <c r="D16" s="11" t="s">
        <v>125</v>
      </c>
      <c r="E16" s="11">
        <f>COUNTIF('Company industries'!$H$2:$H$66,A16)</f>
        <v>9</v>
      </c>
      <c r="F16" s="12" t="s">
        <v>89</v>
      </c>
      <c r="G16" s="12"/>
    </row>
    <row r="17" spans="1:7" x14ac:dyDescent="0.25">
      <c r="A17" s="10" t="s">
        <v>102</v>
      </c>
      <c r="B17" s="9" t="s">
        <v>448</v>
      </c>
      <c r="C17" s="9" t="s">
        <v>449</v>
      </c>
      <c r="D17" s="11" t="s">
        <v>84</v>
      </c>
      <c r="E17" s="11">
        <f>COUNTIF('Company industries'!$H$2:$H$66,A17)</f>
        <v>9</v>
      </c>
      <c r="F17" s="12" t="s">
        <v>89</v>
      </c>
      <c r="G17" s="12"/>
    </row>
    <row r="18" spans="1:7" x14ac:dyDescent="0.25">
      <c r="A18" s="10" t="s">
        <v>102</v>
      </c>
      <c r="B18" s="9" t="s">
        <v>450</v>
      </c>
      <c r="C18" s="9" t="s">
        <v>441</v>
      </c>
      <c r="D18" s="11" t="s">
        <v>125</v>
      </c>
      <c r="E18" s="11">
        <f>COUNTIF('Company industries'!$H$2:$H$66,A18)</f>
        <v>9</v>
      </c>
      <c r="F18" s="12" t="s">
        <v>89</v>
      </c>
      <c r="G18" s="12"/>
    </row>
    <row r="19" spans="1:7" x14ac:dyDescent="0.25">
      <c r="A19" s="10" t="s">
        <v>97</v>
      </c>
      <c r="B19" s="9" t="s">
        <v>313</v>
      </c>
      <c r="C19" s="9" t="s">
        <v>313</v>
      </c>
      <c r="D19" s="11" t="s">
        <v>84</v>
      </c>
      <c r="E19" s="11">
        <f>COUNTIF('Company industries'!$H$2:$H$66,A19)</f>
        <v>8</v>
      </c>
      <c r="F19" s="12" t="s">
        <v>89</v>
      </c>
      <c r="G19" s="12"/>
    </row>
    <row r="20" spans="1:7" x14ac:dyDescent="0.25">
      <c r="A20" s="10" t="s">
        <v>97</v>
      </c>
      <c r="B20" s="9" t="s">
        <v>451</v>
      </c>
      <c r="C20" s="9" t="s">
        <v>451</v>
      </c>
      <c r="D20" s="11" t="s">
        <v>84</v>
      </c>
      <c r="E20" s="11">
        <f>COUNTIF('Company industries'!$H$2:$H$66,A20)</f>
        <v>8</v>
      </c>
      <c r="F20" s="12" t="s">
        <v>89</v>
      </c>
      <c r="G20" s="12"/>
    </row>
    <row r="21" spans="1:7" x14ac:dyDescent="0.25">
      <c r="A21" s="10" t="s">
        <v>97</v>
      </c>
      <c r="B21" s="9" t="s">
        <v>323</v>
      </c>
      <c r="C21" s="9" t="s">
        <v>323</v>
      </c>
      <c r="D21" s="11" t="s">
        <v>84</v>
      </c>
      <c r="E21" s="11">
        <f>COUNTIF('Company industries'!$H$2:$H$66,A21)</f>
        <v>8</v>
      </c>
      <c r="F21" s="12" t="s">
        <v>89</v>
      </c>
      <c r="G21" s="12"/>
    </row>
    <row r="22" spans="1:7" x14ac:dyDescent="0.25">
      <c r="A22" s="10" t="s">
        <v>97</v>
      </c>
      <c r="B22" s="9" t="s">
        <v>452</v>
      </c>
      <c r="C22" s="9" t="s">
        <v>337</v>
      </c>
      <c r="D22" s="11" t="s">
        <v>84</v>
      </c>
      <c r="E22" s="11">
        <f>COUNTIF('Company industries'!$H$2:$H$66,A22)</f>
        <v>8</v>
      </c>
      <c r="F22" s="12" t="s">
        <v>89</v>
      </c>
      <c r="G22" s="12"/>
    </row>
    <row r="23" spans="1:7" x14ac:dyDescent="0.25">
      <c r="A23" s="10" t="s">
        <v>97</v>
      </c>
      <c r="B23" s="9" t="s">
        <v>453</v>
      </c>
      <c r="C23" s="9" t="s">
        <v>339</v>
      </c>
      <c r="D23" s="11" t="s">
        <v>84</v>
      </c>
      <c r="E23" s="11">
        <f>COUNTIF('Company industries'!$H$2:$H$66,A23)</f>
        <v>8</v>
      </c>
      <c r="F23" s="12" t="s">
        <v>89</v>
      </c>
      <c r="G23" s="12"/>
    </row>
    <row r="24" spans="1:7" x14ac:dyDescent="0.25">
      <c r="A24" s="10" t="s">
        <v>97</v>
      </c>
      <c r="B24" s="9" t="s">
        <v>454</v>
      </c>
      <c r="C24" s="9" t="s">
        <v>360</v>
      </c>
      <c r="D24" s="11" t="s">
        <v>84</v>
      </c>
      <c r="E24" s="11">
        <f>COUNTIF('Company industries'!$H$2:$H$66,A24)</f>
        <v>8</v>
      </c>
      <c r="F24" s="12" t="s">
        <v>89</v>
      </c>
      <c r="G24" s="12"/>
    </row>
    <row r="25" spans="1:7" x14ac:dyDescent="0.25">
      <c r="A25" s="10" t="s">
        <v>97</v>
      </c>
      <c r="B25" s="9" t="s">
        <v>455</v>
      </c>
      <c r="C25" s="9" t="s">
        <v>362</v>
      </c>
      <c r="D25" s="11" t="s">
        <v>84</v>
      </c>
      <c r="E25" s="11">
        <f>COUNTIF('Company industries'!$H$2:$H$66,A25)</f>
        <v>8</v>
      </c>
      <c r="F25" s="12" t="s">
        <v>89</v>
      </c>
      <c r="G25" s="12"/>
    </row>
    <row r="26" spans="1:7" x14ac:dyDescent="0.25">
      <c r="A26" s="10" t="s">
        <v>97</v>
      </c>
      <c r="B26" s="9" t="s">
        <v>456</v>
      </c>
      <c r="C26" s="9" t="s">
        <v>327</v>
      </c>
      <c r="D26" s="11" t="s">
        <v>84</v>
      </c>
      <c r="E26" s="11">
        <f>COUNTIF('Company industries'!$H$2:$H$66,A26)</f>
        <v>8</v>
      </c>
      <c r="F26" s="12" t="s">
        <v>89</v>
      </c>
      <c r="G26" s="12"/>
    </row>
    <row r="27" spans="1:7" x14ac:dyDescent="0.25">
      <c r="A27" s="10" t="s">
        <v>97</v>
      </c>
      <c r="B27" s="9" t="s">
        <v>457</v>
      </c>
      <c r="C27" s="9" t="s">
        <v>367</v>
      </c>
      <c r="D27" s="11" t="s">
        <v>125</v>
      </c>
      <c r="E27" s="11">
        <f>COUNTIF('Company industries'!$H$2:$H$66,A27)</f>
        <v>8</v>
      </c>
      <c r="F27" s="12" t="s">
        <v>89</v>
      </c>
      <c r="G27" s="12"/>
    </row>
    <row r="28" spans="1:7" x14ac:dyDescent="0.25">
      <c r="A28" s="10" t="s">
        <v>97</v>
      </c>
      <c r="B28" s="9" t="s">
        <v>458</v>
      </c>
      <c r="C28" s="9" t="s">
        <v>367</v>
      </c>
      <c r="D28" s="11" t="s">
        <v>125</v>
      </c>
      <c r="E28" s="11">
        <f>COUNTIF('Company industries'!$H$2:$H$66,A28)</f>
        <v>8</v>
      </c>
      <c r="F28" s="12" t="s">
        <v>89</v>
      </c>
      <c r="G28" s="12"/>
    </row>
    <row r="29" spans="1:7" ht="25.5" x14ac:dyDescent="0.25">
      <c r="A29" s="10" t="s">
        <v>97</v>
      </c>
      <c r="B29" s="9" t="s">
        <v>459</v>
      </c>
      <c r="C29" s="9" t="s">
        <v>459</v>
      </c>
      <c r="D29" s="11" t="s">
        <v>84</v>
      </c>
      <c r="E29" s="11">
        <f>COUNTIF('Company industries'!$H$2:$H$66,A29)</f>
        <v>8</v>
      </c>
      <c r="F29" s="12" t="s">
        <v>89</v>
      </c>
      <c r="G29" s="12"/>
    </row>
    <row r="30" spans="1:7" ht="25.5" x14ac:dyDescent="0.25">
      <c r="A30" s="10" t="s">
        <v>97</v>
      </c>
      <c r="B30" s="9" t="s">
        <v>460</v>
      </c>
      <c r="C30" s="9" t="s">
        <v>461</v>
      </c>
      <c r="D30" s="11" t="s">
        <v>84</v>
      </c>
      <c r="E30" s="11">
        <f>COUNTIF('Company industries'!$H$2:$H$66,A30)</f>
        <v>8</v>
      </c>
      <c r="F30" s="12" t="s">
        <v>89</v>
      </c>
      <c r="G30" s="12"/>
    </row>
    <row r="31" spans="1:7" ht="25.5" x14ac:dyDescent="0.25">
      <c r="A31" s="10" t="s">
        <v>82</v>
      </c>
      <c r="B31" s="9" t="s">
        <v>313</v>
      </c>
      <c r="C31" s="9" t="s">
        <v>313</v>
      </c>
      <c r="D31" s="11" t="s">
        <v>84</v>
      </c>
      <c r="E31" s="11">
        <f>COUNTIF('Company industries'!$H$2:$H$66,A31)</f>
        <v>1</v>
      </c>
      <c r="F31" s="12" t="s">
        <v>89</v>
      </c>
      <c r="G31" s="12"/>
    </row>
    <row r="32" spans="1:7" ht="25.5" x14ac:dyDescent="0.25">
      <c r="A32" s="10" t="s">
        <v>82</v>
      </c>
      <c r="B32" s="9" t="s">
        <v>451</v>
      </c>
      <c r="C32" s="9" t="s">
        <v>451</v>
      </c>
      <c r="D32" s="11" t="s">
        <v>84</v>
      </c>
      <c r="E32" s="11">
        <f>COUNTIF('Company industries'!$H$2:$H$66,A32)</f>
        <v>1</v>
      </c>
      <c r="F32" s="12" t="s">
        <v>89</v>
      </c>
      <c r="G32" s="12"/>
    </row>
    <row r="33" spans="1:7" ht="25.5" x14ac:dyDescent="0.25">
      <c r="A33" s="10" t="s">
        <v>82</v>
      </c>
      <c r="B33" s="9" t="s">
        <v>452</v>
      </c>
      <c r="C33" s="9" t="s">
        <v>337</v>
      </c>
      <c r="D33" s="11" t="s">
        <v>84</v>
      </c>
      <c r="E33" s="11">
        <f>COUNTIF('Company industries'!$H$2:$H$66,A33)</f>
        <v>1</v>
      </c>
      <c r="F33" s="12" t="s">
        <v>89</v>
      </c>
      <c r="G33" s="12"/>
    </row>
    <row r="34" spans="1:7" ht="25.5" x14ac:dyDescent="0.25">
      <c r="A34" s="10" t="s">
        <v>82</v>
      </c>
      <c r="B34" s="9" t="s">
        <v>462</v>
      </c>
      <c r="C34" s="9" t="s">
        <v>341</v>
      </c>
      <c r="D34" s="11" t="s">
        <v>84</v>
      </c>
      <c r="E34" s="11">
        <f>COUNTIF('Company industries'!$H$2:$H$66,A34)</f>
        <v>1</v>
      </c>
      <c r="F34" s="12" t="s">
        <v>89</v>
      </c>
      <c r="G34" s="12"/>
    </row>
    <row r="35" spans="1:7" ht="25.5" x14ac:dyDescent="0.25">
      <c r="A35" s="10" t="s">
        <v>82</v>
      </c>
      <c r="B35" s="9" t="s">
        <v>463</v>
      </c>
      <c r="C35" s="9" t="s">
        <v>360</v>
      </c>
      <c r="D35" s="11" t="s">
        <v>84</v>
      </c>
      <c r="E35" s="11">
        <f>COUNTIF('Company industries'!$H$2:$H$66,A35)</f>
        <v>1</v>
      </c>
      <c r="F35" s="12" t="s">
        <v>89</v>
      </c>
      <c r="G35" s="12"/>
    </row>
    <row r="36" spans="1:7" ht="25.5" x14ac:dyDescent="0.25">
      <c r="A36" s="10" t="s">
        <v>82</v>
      </c>
      <c r="B36" s="9" t="s">
        <v>454</v>
      </c>
      <c r="C36" s="9" t="s">
        <v>360</v>
      </c>
      <c r="D36" s="11" t="s">
        <v>84</v>
      </c>
      <c r="E36" s="11">
        <f>COUNTIF('Company industries'!$H$2:$H$66,A36)</f>
        <v>1</v>
      </c>
      <c r="F36" s="12" t="s">
        <v>89</v>
      </c>
      <c r="G36" s="12"/>
    </row>
    <row r="37" spans="1:7" ht="25.5" x14ac:dyDescent="0.25">
      <c r="A37" s="10" t="s">
        <v>82</v>
      </c>
      <c r="B37" s="9" t="s">
        <v>455</v>
      </c>
      <c r="C37" s="9" t="s">
        <v>362</v>
      </c>
      <c r="D37" s="11" t="s">
        <v>84</v>
      </c>
      <c r="E37" s="11">
        <f>COUNTIF('Company industries'!$H$2:$H$66,A37)</f>
        <v>1</v>
      </c>
      <c r="F37" s="12" t="s">
        <v>89</v>
      </c>
      <c r="G37" s="12"/>
    </row>
    <row r="38" spans="1:7" ht="25.5" x14ac:dyDescent="0.25">
      <c r="A38" s="10" t="s">
        <v>82</v>
      </c>
      <c r="B38" s="9" t="s">
        <v>464</v>
      </c>
      <c r="C38" s="9" t="s">
        <v>317</v>
      </c>
      <c r="D38" s="11" t="s">
        <v>84</v>
      </c>
      <c r="E38" s="11">
        <f>COUNTIF('Company industries'!$H$2:$H$66,A38)</f>
        <v>1</v>
      </c>
      <c r="F38" s="12" t="s">
        <v>89</v>
      </c>
      <c r="G38" s="12"/>
    </row>
    <row r="39" spans="1:7" ht="25.5" x14ac:dyDescent="0.25">
      <c r="A39" s="10" t="s">
        <v>82</v>
      </c>
      <c r="B39" s="9" t="s">
        <v>465</v>
      </c>
      <c r="C39" s="9" t="s">
        <v>407</v>
      </c>
      <c r="D39" s="11" t="s">
        <v>84</v>
      </c>
      <c r="E39" s="11">
        <f>COUNTIF('Company industries'!$H$2:$H$66,A39)</f>
        <v>1</v>
      </c>
      <c r="F39" s="12" t="s">
        <v>89</v>
      </c>
      <c r="G39" s="12"/>
    </row>
    <row r="40" spans="1:7" ht="25.5" x14ac:dyDescent="0.25">
      <c r="A40" s="10" t="s">
        <v>82</v>
      </c>
      <c r="B40" s="9" t="s">
        <v>459</v>
      </c>
      <c r="C40" s="9" t="s">
        <v>459</v>
      </c>
      <c r="D40" s="11" t="s">
        <v>84</v>
      </c>
      <c r="E40" s="11">
        <f>COUNTIF('Company industries'!$H$2:$H$66,A40)</f>
        <v>1</v>
      </c>
      <c r="F40" s="12" t="s">
        <v>89</v>
      </c>
      <c r="G40" s="12"/>
    </row>
    <row r="41" spans="1:7" ht="25.5" x14ac:dyDescent="0.25">
      <c r="A41" s="10" t="s">
        <v>82</v>
      </c>
      <c r="B41" s="9" t="s">
        <v>461</v>
      </c>
      <c r="C41" s="9" t="s">
        <v>461</v>
      </c>
      <c r="D41" s="11" t="s">
        <v>84</v>
      </c>
      <c r="E41" s="11">
        <f>COUNTIF('Company industries'!$H$2:$H$66,A41)</f>
        <v>1</v>
      </c>
      <c r="F41" s="12" t="s">
        <v>89</v>
      </c>
      <c r="G41" s="12"/>
    </row>
    <row r="42" spans="1:7" x14ac:dyDescent="0.25">
      <c r="A42" s="10" t="s">
        <v>165</v>
      </c>
      <c r="B42" s="9" t="s">
        <v>313</v>
      </c>
      <c r="C42" s="9" t="s">
        <v>313</v>
      </c>
      <c r="D42" s="11" t="s">
        <v>84</v>
      </c>
      <c r="E42" s="11">
        <f>COUNTIF('Company industries'!$H$2:$H$66,A42)</f>
        <v>3</v>
      </c>
      <c r="F42" s="12" t="s">
        <v>89</v>
      </c>
      <c r="G42" s="12"/>
    </row>
    <row r="43" spans="1:7" x14ac:dyDescent="0.25">
      <c r="A43" s="10" t="s">
        <v>165</v>
      </c>
      <c r="B43" s="9" t="s">
        <v>451</v>
      </c>
      <c r="C43" s="9" t="s">
        <v>451</v>
      </c>
      <c r="D43" s="11" t="s">
        <v>84</v>
      </c>
      <c r="E43" s="11">
        <f>COUNTIF('Company industries'!$H$2:$H$66,A43)</f>
        <v>3</v>
      </c>
      <c r="F43" s="12" t="s">
        <v>89</v>
      </c>
      <c r="G43" s="12"/>
    </row>
    <row r="44" spans="1:7" x14ac:dyDescent="0.25">
      <c r="A44" s="10" t="s">
        <v>165</v>
      </c>
      <c r="B44" s="9" t="s">
        <v>452</v>
      </c>
      <c r="C44" s="9" t="s">
        <v>337</v>
      </c>
      <c r="D44" s="11" t="s">
        <v>84</v>
      </c>
      <c r="E44" s="11">
        <f>COUNTIF('Company industries'!$H$2:$H$66,A44)</f>
        <v>3</v>
      </c>
      <c r="F44" s="12" t="s">
        <v>89</v>
      </c>
      <c r="G44" s="12"/>
    </row>
    <row r="45" spans="1:7" x14ac:dyDescent="0.25">
      <c r="A45" s="10" t="s">
        <v>165</v>
      </c>
      <c r="B45" s="9" t="s">
        <v>466</v>
      </c>
      <c r="C45" s="9" t="s">
        <v>339</v>
      </c>
      <c r="D45" s="11" t="s">
        <v>84</v>
      </c>
      <c r="E45" s="11">
        <f>COUNTIF('Company industries'!$H$2:$H$66,A45)</f>
        <v>3</v>
      </c>
      <c r="F45" s="12" t="s">
        <v>89</v>
      </c>
      <c r="G45" s="12"/>
    </row>
    <row r="46" spans="1:7" x14ac:dyDescent="0.25">
      <c r="A46" s="10" t="s">
        <v>165</v>
      </c>
      <c r="B46" s="9" t="s">
        <v>455</v>
      </c>
      <c r="C46" s="9" t="s">
        <v>362</v>
      </c>
      <c r="D46" s="11" t="s">
        <v>84</v>
      </c>
      <c r="E46" s="11">
        <f>COUNTIF('Company industries'!$H$2:$H$66,A46)</f>
        <v>3</v>
      </c>
      <c r="F46" s="12" t="s">
        <v>89</v>
      </c>
      <c r="G46" s="12"/>
    </row>
    <row r="47" spans="1:7" x14ac:dyDescent="0.25">
      <c r="A47" s="10" t="s">
        <v>165</v>
      </c>
      <c r="B47" s="9" t="s">
        <v>467</v>
      </c>
      <c r="C47" s="9" t="s">
        <v>317</v>
      </c>
      <c r="D47" s="11" t="s">
        <v>125</v>
      </c>
      <c r="E47" s="11">
        <f>COUNTIF('Company industries'!$H$2:$H$66,A47)</f>
        <v>3</v>
      </c>
      <c r="F47" s="12" t="s">
        <v>89</v>
      </c>
      <c r="G47" s="12"/>
    </row>
    <row r="48" spans="1:7" x14ac:dyDescent="0.25">
      <c r="A48" s="10" t="s">
        <v>165</v>
      </c>
      <c r="B48" s="9" t="s">
        <v>468</v>
      </c>
      <c r="C48" s="9" t="s">
        <v>449</v>
      </c>
      <c r="D48" s="11" t="s">
        <v>125</v>
      </c>
      <c r="E48" s="11">
        <f>COUNTIF('Company industries'!$H$2:$H$66,A48)</f>
        <v>3</v>
      </c>
      <c r="F48" s="12" t="s">
        <v>89</v>
      </c>
      <c r="G48" s="12"/>
    </row>
    <row r="49" spans="1:7" ht="25.5" x14ac:dyDescent="0.25">
      <c r="A49" s="10" t="s">
        <v>165</v>
      </c>
      <c r="B49" s="9" t="s">
        <v>459</v>
      </c>
      <c r="C49" s="9" t="s">
        <v>459</v>
      </c>
      <c r="D49" s="11" t="s">
        <v>84</v>
      </c>
      <c r="E49" s="11">
        <f>COUNTIF('Company industries'!$H$2:$H$66,A49)</f>
        <v>3</v>
      </c>
      <c r="F49" s="12" t="s">
        <v>89</v>
      </c>
      <c r="G49" s="12"/>
    </row>
    <row r="50" spans="1:7" x14ac:dyDescent="0.25">
      <c r="A50" s="10" t="s">
        <v>165</v>
      </c>
      <c r="B50" s="9" t="s">
        <v>461</v>
      </c>
      <c r="C50" s="9" t="s">
        <v>461</v>
      </c>
      <c r="D50" s="11" t="s">
        <v>84</v>
      </c>
      <c r="E50" s="11">
        <f>COUNTIF('Company industries'!$H$2:$H$66,A50)</f>
        <v>3</v>
      </c>
      <c r="F50" s="12" t="s">
        <v>89</v>
      </c>
      <c r="G50" s="12"/>
    </row>
    <row r="51" spans="1:7" x14ac:dyDescent="0.25">
      <c r="A51" s="10" t="s">
        <v>241</v>
      </c>
      <c r="B51" s="9" t="s">
        <v>469</v>
      </c>
      <c r="C51" s="9" t="s">
        <v>313</v>
      </c>
      <c r="D51" s="11" t="s">
        <v>125</v>
      </c>
      <c r="E51" s="11">
        <f>COUNTIF('Company industries'!$H$2:$H$66,A51)</f>
        <v>1</v>
      </c>
      <c r="F51" s="12" t="s">
        <v>89</v>
      </c>
      <c r="G51" s="12"/>
    </row>
    <row r="52" spans="1:7" x14ac:dyDescent="0.25">
      <c r="A52" s="10" t="s">
        <v>241</v>
      </c>
      <c r="B52" s="9" t="s">
        <v>470</v>
      </c>
      <c r="C52" s="9" t="s">
        <v>337</v>
      </c>
      <c r="D52" s="11" t="s">
        <v>84</v>
      </c>
      <c r="E52" s="11">
        <f>COUNTIF('Company industries'!$H$2:$H$66,A52)</f>
        <v>1</v>
      </c>
      <c r="F52" s="12" t="s">
        <v>89</v>
      </c>
      <c r="G52" s="12"/>
    </row>
    <row r="53" spans="1:7" x14ac:dyDescent="0.25">
      <c r="A53" s="10" t="s">
        <v>241</v>
      </c>
      <c r="B53" s="9" t="s">
        <v>471</v>
      </c>
      <c r="C53" s="9" t="s">
        <v>339</v>
      </c>
      <c r="D53" s="11" t="s">
        <v>125</v>
      </c>
      <c r="E53" s="11">
        <f>COUNTIF('Company industries'!$H$2:$H$66,A53)</f>
        <v>1</v>
      </c>
      <c r="F53" s="12" t="s">
        <v>89</v>
      </c>
      <c r="G53" s="12"/>
    </row>
    <row r="54" spans="1:7" x14ac:dyDescent="0.25">
      <c r="A54" s="10" t="s">
        <v>241</v>
      </c>
      <c r="B54" s="9" t="s">
        <v>472</v>
      </c>
      <c r="C54" s="9" t="s">
        <v>341</v>
      </c>
      <c r="D54" s="11" t="s">
        <v>84</v>
      </c>
      <c r="E54" s="11">
        <f>COUNTIF('Company industries'!$H$2:$H$66,A54)</f>
        <v>1</v>
      </c>
      <c r="F54" s="12" t="s">
        <v>89</v>
      </c>
      <c r="G54" s="12"/>
    </row>
    <row r="55" spans="1:7" x14ac:dyDescent="0.25">
      <c r="A55" s="10" t="s">
        <v>241</v>
      </c>
      <c r="B55" s="9" t="s">
        <v>455</v>
      </c>
      <c r="C55" s="9" t="s">
        <v>362</v>
      </c>
      <c r="D55" s="11" t="s">
        <v>84</v>
      </c>
      <c r="E55" s="11">
        <f>COUNTIF('Company industries'!$H$2:$H$66,A55)</f>
        <v>1</v>
      </c>
      <c r="F55" s="12" t="s">
        <v>89</v>
      </c>
      <c r="G55" s="12"/>
    </row>
    <row r="56" spans="1:7" x14ac:dyDescent="0.25">
      <c r="A56" s="10" t="s">
        <v>241</v>
      </c>
      <c r="B56" s="9" t="s">
        <v>473</v>
      </c>
      <c r="C56" s="9" t="s">
        <v>407</v>
      </c>
      <c r="D56" s="11" t="s">
        <v>84</v>
      </c>
      <c r="E56" s="11">
        <f>COUNTIF('Company industries'!$H$2:$H$66,A56)</f>
        <v>1</v>
      </c>
      <c r="F56" s="12" t="s">
        <v>89</v>
      </c>
      <c r="G56" s="12"/>
    </row>
    <row r="57" spans="1:7" ht="25.5" x14ac:dyDescent="0.25">
      <c r="A57" s="10" t="s">
        <v>241</v>
      </c>
      <c r="B57" s="9" t="s">
        <v>459</v>
      </c>
      <c r="C57" s="9" t="s">
        <v>459</v>
      </c>
      <c r="D57" s="11" t="s">
        <v>84</v>
      </c>
      <c r="E57" s="11">
        <f>COUNTIF('Company industries'!$H$2:$H$66,A57)</f>
        <v>1</v>
      </c>
      <c r="F57" s="12" t="s">
        <v>89</v>
      </c>
      <c r="G57" s="12"/>
    </row>
    <row r="58" spans="1:7" x14ac:dyDescent="0.25">
      <c r="A58" s="10" t="s">
        <v>241</v>
      </c>
      <c r="B58" s="9" t="s">
        <v>461</v>
      </c>
      <c r="C58" s="9" t="s">
        <v>461</v>
      </c>
      <c r="D58" s="11" t="s">
        <v>84</v>
      </c>
      <c r="E58" s="11">
        <f>COUNTIF('Company industries'!$H$2:$H$66,A58)</f>
        <v>1</v>
      </c>
      <c r="F58" s="12" t="s">
        <v>89</v>
      </c>
      <c r="G58" s="12"/>
    </row>
    <row r="59" spans="1:7" x14ac:dyDescent="0.25">
      <c r="A59" s="10" t="s">
        <v>106</v>
      </c>
      <c r="B59" s="9" t="s">
        <v>313</v>
      </c>
      <c r="C59" s="9" t="s">
        <v>313</v>
      </c>
      <c r="D59" s="11" t="s">
        <v>84</v>
      </c>
      <c r="E59" s="11">
        <f>COUNTIF('Company industries'!$H$2:$H$66,A59)</f>
        <v>2</v>
      </c>
      <c r="F59" s="12" t="s">
        <v>89</v>
      </c>
      <c r="G59" s="12"/>
    </row>
    <row r="60" spans="1:7" x14ac:dyDescent="0.25">
      <c r="A60" s="10" t="s">
        <v>106</v>
      </c>
      <c r="B60" s="9" t="s">
        <v>451</v>
      </c>
      <c r="C60" s="9" t="s">
        <v>451</v>
      </c>
      <c r="D60" s="11" t="s">
        <v>84</v>
      </c>
      <c r="E60" s="11">
        <f>COUNTIF('Company industries'!$H$2:$H$66,A60)</f>
        <v>2</v>
      </c>
      <c r="F60" s="12" t="s">
        <v>89</v>
      </c>
      <c r="G60" s="12"/>
    </row>
    <row r="61" spans="1:7" x14ac:dyDescent="0.25">
      <c r="A61" s="10" t="s">
        <v>106</v>
      </c>
      <c r="B61" s="9" t="s">
        <v>323</v>
      </c>
      <c r="C61" s="9" t="s">
        <v>323</v>
      </c>
      <c r="D61" s="11" t="s">
        <v>84</v>
      </c>
      <c r="E61" s="11">
        <f>COUNTIF('Company industries'!$H$2:$H$66,A61)</f>
        <v>2</v>
      </c>
      <c r="F61" s="12" t="s">
        <v>89</v>
      </c>
      <c r="G61" s="12"/>
    </row>
    <row r="62" spans="1:7" x14ac:dyDescent="0.25">
      <c r="A62" s="10" t="s">
        <v>106</v>
      </c>
      <c r="B62" s="9" t="s">
        <v>452</v>
      </c>
      <c r="C62" s="9" t="s">
        <v>337</v>
      </c>
      <c r="D62" s="11" t="s">
        <v>84</v>
      </c>
      <c r="E62" s="11">
        <f>COUNTIF('Company industries'!$H$2:$H$66,A62)</f>
        <v>2</v>
      </c>
      <c r="F62" s="12" t="s">
        <v>89</v>
      </c>
      <c r="G62" s="12"/>
    </row>
    <row r="63" spans="1:7" x14ac:dyDescent="0.25">
      <c r="A63" s="10" t="s">
        <v>106</v>
      </c>
      <c r="B63" s="9" t="s">
        <v>339</v>
      </c>
      <c r="C63" s="9" t="s">
        <v>339</v>
      </c>
      <c r="D63" s="11" t="s">
        <v>84</v>
      </c>
      <c r="E63" s="11">
        <f>COUNTIF('Company industries'!$H$2:$H$66,A63)</f>
        <v>2</v>
      </c>
      <c r="F63" s="12" t="s">
        <v>89</v>
      </c>
      <c r="G63" s="12"/>
    </row>
    <row r="64" spans="1:7" x14ac:dyDescent="0.25">
      <c r="A64" s="10" t="s">
        <v>106</v>
      </c>
      <c r="B64" s="9" t="s">
        <v>462</v>
      </c>
      <c r="C64" s="9" t="s">
        <v>341</v>
      </c>
      <c r="D64" s="11" t="s">
        <v>84</v>
      </c>
      <c r="E64" s="11">
        <f>COUNTIF('Company industries'!$H$2:$H$66,A64)</f>
        <v>2</v>
      </c>
      <c r="F64" s="12" t="s">
        <v>89</v>
      </c>
      <c r="G64" s="12"/>
    </row>
    <row r="65" spans="1:7" x14ac:dyDescent="0.25">
      <c r="A65" s="10" t="s">
        <v>106</v>
      </c>
      <c r="B65" s="9" t="s">
        <v>463</v>
      </c>
      <c r="C65" s="9" t="s">
        <v>360</v>
      </c>
      <c r="D65" s="11" t="s">
        <v>84</v>
      </c>
      <c r="E65" s="11">
        <f>COUNTIF('Company industries'!$H$2:$H$66,A65)</f>
        <v>2</v>
      </c>
      <c r="F65" s="12" t="s">
        <v>89</v>
      </c>
      <c r="G65" s="12"/>
    </row>
    <row r="66" spans="1:7" x14ac:dyDescent="0.25">
      <c r="A66" s="10" t="s">
        <v>106</v>
      </c>
      <c r="B66" s="9" t="s">
        <v>454</v>
      </c>
      <c r="C66" s="9" t="s">
        <v>360</v>
      </c>
      <c r="D66" s="11" t="s">
        <v>84</v>
      </c>
      <c r="E66" s="11">
        <f>COUNTIF('Company industries'!$H$2:$H$66,A66)</f>
        <v>2</v>
      </c>
      <c r="F66" s="12" t="s">
        <v>89</v>
      </c>
      <c r="G66" s="12"/>
    </row>
    <row r="67" spans="1:7" x14ac:dyDescent="0.25">
      <c r="A67" s="10" t="s">
        <v>106</v>
      </c>
      <c r="B67" s="9" t="s">
        <v>474</v>
      </c>
      <c r="C67" s="9" t="s">
        <v>363</v>
      </c>
      <c r="D67" s="11" t="s">
        <v>84</v>
      </c>
      <c r="E67" s="11">
        <f>COUNTIF('Company industries'!$H$2:$H$66,A67)</f>
        <v>2</v>
      </c>
      <c r="F67" s="12" t="s">
        <v>89</v>
      </c>
      <c r="G67" s="12"/>
    </row>
    <row r="68" spans="1:7" x14ac:dyDescent="0.25">
      <c r="A68" s="10" t="s">
        <v>106</v>
      </c>
      <c r="B68" s="9" t="s">
        <v>455</v>
      </c>
      <c r="C68" s="9" t="s">
        <v>362</v>
      </c>
      <c r="D68" s="11" t="s">
        <v>84</v>
      </c>
      <c r="E68" s="11">
        <f>COUNTIF('Company industries'!$H$2:$H$66,A68)</f>
        <v>2</v>
      </c>
      <c r="F68" s="12" t="s">
        <v>89</v>
      </c>
      <c r="G68" s="12"/>
    </row>
    <row r="69" spans="1:7" x14ac:dyDescent="0.25">
      <c r="A69" s="10" t="s">
        <v>106</v>
      </c>
      <c r="B69" s="9" t="s">
        <v>465</v>
      </c>
      <c r="C69" s="9" t="s">
        <v>407</v>
      </c>
      <c r="D69" s="11" t="s">
        <v>84</v>
      </c>
      <c r="E69" s="11">
        <f>COUNTIF('Company industries'!$H$2:$H$66,A69)</f>
        <v>2</v>
      </c>
      <c r="F69" s="12" t="s">
        <v>89</v>
      </c>
      <c r="G69" s="12"/>
    </row>
    <row r="70" spans="1:7" x14ac:dyDescent="0.25">
      <c r="A70" s="10" t="s">
        <v>106</v>
      </c>
      <c r="B70" s="9" t="s">
        <v>475</v>
      </c>
      <c r="C70" s="9" t="s">
        <v>461</v>
      </c>
      <c r="D70" s="11" t="s">
        <v>84</v>
      </c>
      <c r="E70" s="11">
        <f>COUNTIF('Company industries'!$H$2:$H$66,A70)</f>
        <v>2</v>
      </c>
      <c r="F70" s="12" t="s">
        <v>89</v>
      </c>
      <c r="G70" s="12"/>
    </row>
    <row r="71" spans="1:7" x14ac:dyDescent="0.25">
      <c r="A71" s="10" t="s">
        <v>114</v>
      </c>
      <c r="B71" s="9" t="s">
        <v>313</v>
      </c>
      <c r="C71" s="9" t="s">
        <v>313</v>
      </c>
      <c r="D71" s="11" t="s">
        <v>84</v>
      </c>
      <c r="E71" s="11">
        <f>COUNTIF('Company industries'!$H$2:$H$66,A71)</f>
        <v>2</v>
      </c>
      <c r="F71" s="12" t="s">
        <v>89</v>
      </c>
      <c r="G71" s="12"/>
    </row>
    <row r="72" spans="1:7" x14ac:dyDescent="0.25">
      <c r="A72" s="10" t="s">
        <v>114</v>
      </c>
      <c r="B72" s="9" t="s">
        <v>451</v>
      </c>
      <c r="C72" s="9" t="s">
        <v>451</v>
      </c>
      <c r="D72" s="11" t="s">
        <v>84</v>
      </c>
      <c r="E72" s="11">
        <f>COUNTIF('Company industries'!$H$2:$H$66,A72)</f>
        <v>2</v>
      </c>
      <c r="F72" s="12" t="s">
        <v>89</v>
      </c>
      <c r="G72" s="12"/>
    </row>
    <row r="73" spans="1:7" x14ac:dyDescent="0.25">
      <c r="A73" s="10" t="s">
        <v>114</v>
      </c>
      <c r="B73" s="9" t="s">
        <v>323</v>
      </c>
      <c r="C73" s="9" t="s">
        <v>323</v>
      </c>
      <c r="D73" s="11" t="s">
        <v>84</v>
      </c>
      <c r="E73" s="11">
        <f>COUNTIF('Company industries'!$H$2:$H$66,A73)</f>
        <v>2</v>
      </c>
      <c r="F73" s="12" t="s">
        <v>89</v>
      </c>
      <c r="G73" s="12"/>
    </row>
    <row r="74" spans="1:7" x14ac:dyDescent="0.25">
      <c r="A74" s="10" t="s">
        <v>114</v>
      </c>
      <c r="B74" s="9" t="s">
        <v>452</v>
      </c>
      <c r="C74" s="9" t="s">
        <v>337</v>
      </c>
      <c r="D74" s="11" t="s">
        <v>84</v>
      </c>
      <c r="E74" s="11">
        <f>COUNTIF('Company industries'!$H$2:$H$66,A74)</f>
        <v>2</v>
      </c>
      <c r="F74" s="12" t="s">
        <v>89</v>
      </c>
      <c r="G74" s="12"/>
    </row>
    <row r="75" spans="1:7" x14ac:dyDescent="0.25">
      <c r="A75" s="10" t="s">
        <v>114</v>
      </c>
      <c r="B75" s="9" t="s">
        <v>476</v>
      </c>
      <c r="C75" s="9" t="s">
        <v>339</v>
      </c>
      <c r="D75" s="11" t="s">
        <v>84</v>
      </c>
      <c r="E75" s="11">
        <f>COUNTIF('Company industries'!$H$2:$H$66,A75)</f>
        <v>2</v>
      </c>
      <c r="F75" s="12" t="s">
        <v>89</v>
      </c>
      <c r="G75" s="12"/>
    </row>
    <row r="76" spans="1:7" x14ac:dyDescent="0.25">
      <c r="A76" s="10" t="s">
        <v>114</v>
      </c>
      <c r="B76" s="9" t="s">
        <v>462</v>
      </c>
      <c r="C76" s="9" t="s">
        <v>341</v>
      </c>
      <c r="D76" s="11" t="s">
        <v>84</v>
      </c>
      <c r="E76" s="11">
        <f>COUNTIF('Company industries'!$H$2:$H$66,A76)</f>
        <v>2</v>
      </c>
      <c r="F76" s="12" t="s">
        <v>89</v>
      </c>
      <c r="G76" s="12"/>
    </row>
    <row r="77" spans="1:7" x14ac:dyDescent="0.25">
      <c r="A77" s="10" t="s">
        <v>114</v>
      </c>
      <c r="B77" s="9" t="s">
        <v>455</v>
      </c>
      <c r="C77" s="9" t="s">
        <v>362</v>
      </c>
      <c r="D77" s="11" t="s">
        <v>84</v>
      </c>
      <c r="E77" s="11">
        <f>COUNTIF('Company industries'!$H$2:$H$66,A77)</f>
        <v>2</v>
      </c>
      <c r="F77" s="12" t="s">
        <v>89</v>
      </c>
      <c r="G77" s="12"/>
    </row>
    <row r="78" spans="1:7" x14ac:dyDescent="0.25">
      <c r="A78" s="10" t="s">
        <v>114</v>
      </c>
      <c r="B78" s="9" t="s">
        <v>477</v>
      </c>
      <c r="C78" s="9" t="s">
        <v>327</v>
      </c>
      <c r="D78" s="11" t="s">
        <v>84</v>
      </c>
      <c r="E78" s="11">
        <f>COUNTIF('Company industries'!$H$2:$H$66,A78)</f>
        <v>2</v>
      </c>
      <c r="F78" s="12" t="s">
        <v>89</v>
      </c>
      <c r="G78" s="12"/>
    </row>
    <row r="79" spans="1:7" x14ac:dyDescent="0.25">
      <c r="A79" s="10" t="s">
        <v>114</v>
      </c>
      <c r="B79" s="9" t="s">
        <v>468</v>
      </c>
      <c r="C79" s="9" t="s">
        <v>449</v>
      </c>
      <c r="D79" s="11" t="s">
        <v>84</v>
      </c>
      <c r="E79" s="11">
        <f>COUNTIF('Company industries'!$H$2:$H$66,A79)</f>
        <v>2</v>
      </c>
      <c r="F79" s="12" t="s">
        <v>89</v>
      </c>
      <c r="G79" s="12"/>
    </row>
    <row r="80" spans="1:7" x14ac:dyDescent="0.25">
      <c r="A80" s="10" t="s">
        <v>293</v>
      </c>
      <c r="B80" s="9" t="s">
        <v>313</v>
      </c>
      <c r="C80" s="9" t="s">
        <v>313</v>
      </c>
      <c r="D80" s="11" t="s">
        <v>84</v>
      </c>
      <c r="E80" s="11">
        <f>COUNTIF('Company industries'!$H$2:$H$66,A80)</f>
        <v>1</v>
      </c>
      <c r="F80" s="12" t="s">
        <v>89</v>
      </c>
      <c r="G80" s="12"/>
    </row>
    <row r="81" spans="1:7" x14ac:dyDescent="0.25">
      <c r="A81" s="10" t="s">
        <v>293</v>
      </c>
      <c r="B81" s="9" t="s">
        <v>478</v>
      </c>
      <c r="C81" s="9" t="s">
        <v>451</v>
      </c>
      <c r="D81" s="11" t="s">
        <v>84</v>
      </c>
      <c r="E81" s="11">
        <f>COUNTIF('Company industries'!$H$2:$H$66,A81)</f>
        <v>1</v>
      </c>
      <c r="F81" s="12" t="s">
        <v>89</v>
      </c>
      <c r="G81" s="12"/>
    </row>
    <row r="82" spans="1:7" x14ac:dyDescent="0.25">
      <c r="A82" s="10" t="s">
        <v>293</v>
      </c>
      <c r="B82" s="9" t="s">
        <v>323</v>
      </c>
      <c r="C82" s="9" t="s">
        <v>323</v>
      </c>
      <c r="D82" s="11" t="s">
        <v>84</v>
      </c>
      <c r="E82" s="11">
        <f>COUNTIF('Company industries'!$H$2:$H$66,A82)</f>
        <v>1</v>
      </c>
      <c r="F82" s="12" t="s">
        <v>89</v>
      </c>
      <c r="G82" s="12"/>
    </row>
    <row r="83" spans="1:7" x14ac:dyDescent="0.25">
      <c r="A83" s="10" t="s">
        <v>293</v>
      </c>
      <c r="B83" s="9" t="s">
        <v>452</v>
      </c>
      <c r="C83" s="9" t="s">
        <v>337</v>
      </c>
      <c r="D83" s="11" t="s">
        <v>84</v>
      </c>
      <c r="E83" s="11">
        <f>COUNTIF('Company industries'!$H$2:$H$66,A83)</f>
        <v>1</v>
      </c>
      <c r="F83" s="12" t="s">
        <v>89</v>
      </c>
      <c r="G83" s="12"/>
    </row>
    <row r="84" spans="1:7" x14ac:dyDescent="0.25">
      <c r="A84" s="10" t="s">
        <v>293</v>
      </c>
      <c r="B84" s="9" t="s">
        <v>476</v>
      </c>
      <c r="C84" s="9" t="s">
        <v>339</v>
      </c>
      <c r="D84" s="11" t="s">
        <v>84</v>
      </c>
      <c r="E84" s="11">
        <f>COUNTIF('Company industries'!$H$2:$H$66,A84)</f>
        <v>1</v>
      </c>
      <c r="F84" s="12" t="s">
        <v>89</v>
      </c>
      <c r="G84" s="12"/>
    </row>
    <row r="85" spans="1:7" x14ac:dyDescent="0.25">
      <c r="A85" s="10" t="s">
        <v>293</v>
      </c>
      <c r="B85" s="9" t="s">
        <v>455</v>
      </c>
      <c r="C85" s="9" t="s">
        <v>362</v>
      </c>
      <c r="D85" s="11" t="s">
        <v>84</v>
      </c>
      <c r="E85" s="11">
        <f>COUNTIF('Company industries'!$H$2:$H$66,A85)</f>
        <v>1</v>
      </c>
      <c r="F85" s="12" t="s">
        <v>89</v>
      </c>
      <c r="G85" s="12"/>
    </row>
    <row r="86" spans="1:7" x14ac:dyDescent="0.25">
      <c r="A86" s="10" t="s">
        <v>293</v>
      </c>
      <c r="B86" s="9" t="s">
        <v>393</v>
      </c>
      <c r="C86" s="9" t="s">
        <v>393</v>
      </c>
      <c r="D86" s="11" t="s">
        <v>125</v>
      </c>
      <c r="E86" s="11">
        <f>COUNTIF('Company industries'!$H$2:$H$66,A86)</f>
        <v>1</v>
      </c>
      <c r="F86" s="12" t="s">
        <v>89</v>
      </c>
      <c r="G86" s="12"/>
    </row>
    <row r="87" spans="1:7" x14ac:dyDescent="0.25">
      <c r="A87" s="10" t="s">
        <v>123</v>
      </c>
      <c r="B87" s="9" t="s">
        <v>313</v>
      </c>
      <c r="C87" s="9" t="s">
        <v>313</v>
      </c>
      <c r="D87" s="11" t="s">
        <v>84</v>
      </c>
      <c r="E87" s="11">
        <f>COUNTIF('Company industries'!$H$2:$H$66,A87)</f>
        <v>2</v>
      </c>
      <c r="F87" s="12" t="s">
        <v>89</v>
      </c>
      <c r="G87" s="12"/>
    </row>
    <row r="88" spans="1:7" x14ac:dyDescent="0.25">
      <c r="A88" s="10" t="s">
        <v>123</v>
      </c>
      <c r="B88" s="9" t="s">
        <v>323</v>
      </c>
      <c r="C88" s="9" t="s">
        <v>323</v>
      </c>
      <c r="D88" s="11" t="s">
        <v>84</v>
      </c>
      <c r="E88" s="11">
        <f>COUNTIF('Company industries'!$H$2:$H$66,A88)</f>
        <v>2</v>
      </c>
      <c r="F88" s="12" t="s">
        <v>89</v>
      </c>
      <c r="G88" s="12"/>
    </row>
    <row r="89" spans="1:7" x14ac:dyDescent="0.25">
      <c r="A89" s="10" t="s">
        <v>123</v>
      </c>
      <c r="B89" s="9" t="s">
        <v>452</v>
      </c>
      <c r="C89" s="9" t="s">
        <v>337</v>
      </c>
      <c r="D89" s="11" t="s">
        <v>84</v>
      </c>
      <c r="E89" s="11">
        <f>COUNTIF('Company industries'!$H$2:$H$66,A89)</f>
        <v>2</v>
      </c>
      <c r="F89" s="12" t="s">
        <v>89</v>
      </c>
      <c r="G89" s="12"/>
    </row>
    <row r="90" spans="1:7" x14ac:dyDescent="0.25">
      <c r="A90" s="10" t="s">
        <v>123</v>
      </c>
      <c r="B90" s="9" t="s">
        <v>479</v>
      </c>
      <c r="C90" s="9" t="s">
        <v>341</v>
      </c>
      <c r="D90" s="11" t="s">
        <v>84</v>
      </c>
      <c r="E90" s="11">
        <f>COUNTIF('Company industries'!$H$2:$H$66,A90)</f>
        <v>2</v>
      </c>
      <c r="F90" s="12" t="s">
        <v>89</v>
      </c>
      <c r="G90" s="12"/>
    </row>
    <row r="91" spans="1:7" x14ac:dyDescent="0.25">
      <c r="A91" s="10" t="s">
        <v>123</v>
      </c>
      <c r="B91" s="9" t="s">
        <v>480</v>
      </c>
      <c r="C91" s="9" t="s">
        <v>367</v>
      </c>
      <c r="D91" s="11" t="s">
        <v>84</v>
      </c>
      <c r="E91" s="11">
        <f>COUNTIF('Company industries'!$H$2:$H$66,A91)</f>
        <v>2</v>
      </c>
      <c r="F91" s="12" t="s">
        <v>89</v>
      </c>
      <c r="G91" s="12"/>
    </row>
    <row r="92" spans="1:7" x14ac:dyDescent="0.25">
      <c r="A92" s="10" t="s">
        <v>123</v>
      </c>
      <c r="B92" s="9" t="s">
        <v>481</v>
      </c>
      <c r="C92" s="9" t="s">
        <v>367</v>
      </c>
      <c r="D92" s="11" t="s">
        <v>125</v>
      </c>
      <c r="E92" s="11">
        <f>COUNTIF('Company industries'!$H$2:$H$66,A92)</f>
        <v>2</v>
      </c>
      <c r="F92" s="12" t="s">
        <v>89</v>
      </c>
      <c r="G92" s="12"/>
    </row>
    <row r="93" spans="1:7" x14ac:dyDescent="0.25">
      <c r="A93" s="10" t="s">
        <v>123</v>
      </c>
      <c r="B93" s="9" t="s">
        <v>455</v>
      </c>
      <c r="C93" s="9" t="s">
        <v>362</v>
      </c>
      <c r="D93" s="11" t="s">
        <v>84</v>
      </c>
      <c r="E93" s="11">
        <f>COUNTIF('Company industries'!$H$2:$H$66,A93)</f>
        <v>2</v>
      </c>
      <c r="F93" s="12" t="s">
        <v>89</v>
      </c>
      <c r="G93" s="12"/>
    </row>
    <row r="94" spans="1:7" x14ac:dyDescent="0.25">
      <c r="A94" s="10" t="s">
        <v>123</v>
      </c>
      <c r="B94" s="9" t="s">
        <v>482</v>
      </c>
      <c r="C94" s="9" t="s">
        <v>393</v>
      </c>
      <c r="D94" s="11" t="s">
        <v>125</v>
      </c>
      <c r="E94" s="11">
        <f>COUNTIF('Company industries'!$H$2:$H$66,A94)</f>
        <v>2</v>
      </c>
      <c r="F94" s="12" t="s">
        <v>89</v>
      </c>
      <c r="G94" s="12"/>
    </row>
    <row r="95" spans="1:7" x14ac:dyDescent="0.25">
      <c r="A95" s="10" t="s">
        <v>123</v>
      </c>
      <c r="B95" s="9" t="s">
        <v>483</v>
      </c>
      <c r="C95" s="9" t="s">
        <v>393</v>
      </c>
      <c r="D95" s="11" t="s">
        <v>84</v>
      </c>
      <c r="E95" s="11">
        <f>COUNTIF('Company industries'!$H$2:$H$66,A95)</f>
        <v>2</v>
      </c>
      <c r="F95" s="12" t="s">
        <v>89</v>
      </c>
      <c r="G95" s="12"/>
    </row>
    <row r="96" spans="1:7" x14ac:dyDescent="0.25">
      <c r="A96" s="10" t="s">
        <v>123</v>
      </c>
      <c r="B96" s="9" t="s">
        <v>484</v>
      </c>
      <c r="C96" s="9" t="s">
        <v>485</v>
      </c>
      <c r="D96" s="11" t="s">
        <v>125</v>
      </c>
      <c r="E96" s="11">
        <f>COUNTIF('Company industries'!$H$2:$H$66,A96)</f>
        <v>2</v>
      </c>
      <c r="F96" s="12" t="s">
        <v>89</v>
      </c>
      <c r="G96" s="12"/>
    </row>
    <row r="97" spans="1:7" x14ac:dyDescent="0.25">
      <c r="A97" s="10" t="s">
        <v>133</v>
      </c>
      <c r="B97" s="9" t="s">
        <v>323</v>
      </c>
      <c r="C97" s="9" t="s">
        <v>323</v>
      </c>
      <c r="D97" s="11" t="s">
        <v>84</v>
      </c>
      <c r="E97" s="11">
        <f>COUNTIF('Company industries'!$H$2:$H$66,A97)</f>
        <v>1</v>
      </c>
      <c r="F97" s="12" t="s">
        <v>89</v>
      </c>
      <c r="G97" s="12"/>
    </row>
    <row r="98" spans="1:7" x14ac:dyDescent="0.25">
      <c r="A98" s="10" t="s">
        <v>133</v>
      </c>
      <c r="B98" s="9" t="s">
        <v>452</v>
      </c>
      <c r="C98" s="9" t="s">
        <v>337</v>
      </c>
      <c r="D98" s="11" t="s">
        <v>84</v>
      </c>
      <c r="E98" s="11">
        <f>COUNTIF('Company industries'!$H$2:$H$66,A98)</f>
        <v>1</v>
      </c>
      <c r="F98" s="12" t="s">
        <v>89</v>
      </c>
      <c r="G98" s="12"/>
    </row>
    <row r="99" spans="1:7" x14ac:dyDescent="0.25">
      <c r="A99" s="10" t="s">
        <v>133</v>
      </c>
      <c r="B99" s="9" t="s">
        <v>480</v>
      </c>
      <c r="C99" s="9" t="s">
        <v>367</v>
      </c>
      <c r="D99" s="11" t="s">
        <v>84</v>
      </c>
      <c r="E99" s="11">
        <f>COUNTIF('Company industries'!$H$2:$H$66,A99)</f>
        <v>1</v>
      </c>
      <c r="F99" s="12" t="s">
        <v>89</v>
      </c>
      <c r="G99" s="12"/>
    </row>
    <row r="100" spans="1:7" x14ac:dyDescent="0.25">
      <c r="A100" s="10" t="s">
        <v>133</v>
      </c>
      <c r="B100" s="9" t="s">
        <v>486</v>
      </c>
      <c r="C100" s="9" t="s">
        <v>487</v>
      </c>
      <c r="D100" s="11" t="s">
        <v>84</v>
      </c>
      <c r="E100" s="11">
        <f>COUNTIF('Company industries'!$H$2:$H$66,A100)</f>
        <v>1</v>
      </c>
      <c r="F100" s="12" t="s">
        <v>89</v>
      </c>
      <c r="G100" s="12"/>
    </row>
    <row r="101" spans="1:7" x14ac:dyDescent="0.25">
      <c r="A101" s="10" t="s">
        <v>133</v>
      </c>
      <c r="B101" s="9" t="s">
        <v>488</v>
      </c>
      <c r="C101" s="9" t="s">
        <v>376</v>
      </c>
      <c r="D101" s="11" t="s">
        <v>84</v>
      </c>
      <c r="E101" s="11">
        <f>COUNTIF('Company industries'!$H$2:$H$66,A101)</f>
        <v>1</v>
      </c>
      <c r="F101" s="12" t="s">
        <v>89</v>
      </c>
      <c r="G101" s="12"/>
    </row>
    <row r="102" spans="1:7" x14ac:dyDescent="0.25">
      <c r="A102" s="10" t="s">
        <v>133</v>
      </c>
      <c r="B102" s="9" t="s">
        <v>489</v>
      </c>
      <c r="C102" s="9" t="s">
        <v>327</v>
      </c>
      <c r="D102" s="11" t="s">
        <v>84</v>
      </c>
      <c r="E102" s="11">
        <f>COUNTIF('Company industries'!$H$2:$H$66,A102)</f>
        <v>1</v>
      </c>
      <c r="F102" s="12" t="s">
        <v>89</v>
      </c>
      <c r="G102" s="12"/>
    </row>
    <row r="103" spans="1:7" ht="25.5" x14ac:dyDescent="0.25">
      <c r="A103" s="10" t="s">
        <v>133</v>
      </c>
      <c r="B103" s="9" t="s">
        <v>490</v>
      </c>
      <c r="C103" s="9" t="s">
        <v>393</v>
      </c>
      <c r="D103" s="11" t="s">
        <v>84</v>
      </c>
      <c r="E103" s="11">
        <f>COUNTIF('Company industries'!$H$2:$H$66,A103)</f>
        <v>1</v>
      </c>
      <c r="F103" s="12" t="s">
        <v>89</v>
      </c>
      <c r="G103" s="12"/>
    </row>
    <row r="104" spans="1:7" x14ac:dyDescent="0.25">
      <c r="A104" s="10" t="s">
        <v>133</v>
      </c>
      <c r="B104" s="9" t="s">
        <v>491</v>
      </c>
      <c r="C104" s="9" t="s">
        <v>485</v>
      </c>
      <c r="D104" s="11" t="s">
        <v>84</v>
      </c>
      <c r="E104" s="11">
        <f>COUNTIF('Company industries'!$H$2:$H$66,A104)</f>
        <v>1</v>
      </c>
      <c r="F104" s="12" t="s">
        <v>89</v>
      </c>
      <c r="G104" s="12"/>
    </row>
    <row r="105" spans="1:7" x14ac:dyDescent="0.25">
      <c r="A105" s="10" t="s">
        <v>181</v>
      </c>
      <c r="B105" s="9" t="s">
        <v>492</v>
      </c>
      <c r="C105" s="9" t="s">
        <v>323</v>
      </c>
      <c r="D105" s="11" t="s">
        <v>125</v>
      </c>
      <c r="E105" s="11">
        <f>COUNTIF('Company industries'!$H$2:$H$66,A105)</f>
        <v>1</v>
      </c>
      <c r="F105" s="12" t="s">
        <v>89</v>
      </c>
      <c r="G105" s="12"/>
    </row>
    <row r="106" spans="1:7" x14ac:dyDescent="0.25">
      <c r="A106" s="10" t="s">
        <v>181</v>
      </c>
      <c r="B106" s="9" t="s">
        <v>493</v>
      </c>
      <c r="C106" s="9" t="s">
        <v>313</v>
      </c>
      <c r="D106" s="11" t="s">
        <v>125</v>
      </c>
      <c r="E106" s="11">
        <f>COUNTIF('Company industries'!$H$2:$H$66,A106)</f>
        <v>1</v>
      </c>
      <c r="F106" s="12" t="s">
        <v>89</v>
      </c>
      <c r="G106" s="12"/>
    </row>
    <row r="107" spans="1:7" x14ac:dyDescent="0.25">
      <c r="A107" s="10" t="s">
        <v>181</v>
      </c>
      <c r="B107" s="9" t="s">
        <v>323</v>
      </c>
      <c r="C107" s="9" t="s">
        <v>323</v>
      </c>
      <c r="D107" s="11" t="s">
        <v>84</v>
      </c>
      <c r="E107" s="11">
        <f>COUNTIF('Company industries'!$H$2:$H$66,A107)</f>
        <v>1</v>
      </c>
      <c r="F107" s="12" t="s">
        <v>89</v>
      </c>
      <c r="G107" s="12"/>
    </row>
    <row r="108" spans="1:7" x14ac:dyDescent="0.25">
      <c r="A108" s="10" t="s">
        <v>181</v>
      </c>
      <c r="B108" s="9" t="s">
        <v>494</v>
      </c>
      <c r="C108" s="9" t="s">
        <v>339</v>
      </c>
      <c r="D108" s="11" t="s">
        <v>84</v>
      </c>
      <c r="E108" s="11">
        <f>COUNTIF('Company industries'!$H$2:$H$66,A108)</f>
        <v>1</v>
      </c>
      <c r="F108" s="12" t="s">
        <v>89</v>
      </c>
      <c r="G108" s="12"/>
    </row>
    <row r="109" spans="1:7" x14ac:dyDescent="0.25">
      <c r="A109" s="10" t="s">
        <v>181</v>
      </c>
      <c r="B109" s="9" t="s">
        <v>423</v>
      </c>
      <c r="C109" s="9" t="s">
        <v>423</v>
      </c>
      <c r="D109" s="11" t="s">
        <v>84</v>
      </c>
      <c r="E109" s="11">
        <f>COUNTIF('Company industries'!$H$2:$H$66,A109)</f>
        <v>1</v>
      </c>
      <c r="F109" s="12" t="s">
        <v>89</v>
      </c>
      <c r="G109" s="12"/>
    </row>
    <row r="110" spans="1:7" x14ac:dyDescent="0.25">
      <c r="A110" s="10" t="s">
        <v>181</v>
      </c>
      <c r="B110" s="9" t="s">
        <v>480</v>
      </c>
      <c r="C110" s="9" t="s">
        <v>367</v>
      </c>
      <c r="D110" s="11" t="s">
        <v>84</v>
      </c>
      <c r="E110" s="11">
        <f>COUNTIF('Company industries'!$H$2:$H$66,A110)</f>
        <v>1</v>
      </c>
      <c r="F110" s="12" t="s">
        <v>89</v>
      </c>
      <c r="G110" s="12"/>
    </row>
    <row r="111" spans="1:7" x14ac:dyDescent="0.25">
      <c r="A111" s="10" t="s">
        <v>181</v>
      </c>
      <c r="B111" s="9" t="s">
        <v>495</v>
      </c>
      <c r="C111" s="9" t="s">
        <v>487</v>
      </c>
      <c r="D111" s="11" t="s">
        <v>84</v>
      </c>
      <c r="E111" s="11">
        <f>COUNTIF('Company industries'!$H$2:$H$66,A111)</f>
        <v>1</v>
      </c>
      <c r="F111" s="12" t="s">
        <v>89</v>
      </c>
      <c r="G111" s="12"/>
    </row>
    <row r="112" spans="1:7" x14ac:dyDescent="0.25">
      <c r="A112" s="10" t="s">
        <v>181</v>
      </c>
      <c r="B112" s="9" t="s">
        <v>488</v>
      </c>
      <c r="C112" s="9" t="s">
        <v>376</v>
      </c>
      <c r="D112" s="11" t="s">
        <v>84</v>
      </c>
      <c r="E112" s="11">
        <f>COUNTIF('Company industries'!$H$2:$H$66,A112)</f>
        <v>1</v>
      </c>
      <c r="F112" s="12" t="s">
        <v>89</v>
      </c>
      <c r="G112" s="12"/>
    </row>
    <row r="113" spans="1:7" x14ac:dyDescent="0.25">
      <c r="A113" s="10" t="s">
        <v>181</v>
      </c>
      <c r="B113" s="9" t="s">
        <v>496</v>
      </c>
      <c r="C113" s="9" t="s">
        <v>363</v>
      </c>
      <c r="D113" s="11" t="s">
        <v>84</v>
      </c>
      <c r="E113" s="11">
        <f>COUNTIF('Company industries'!$H$2:$H$66,A113)</f>
        <v>1</v>
      </c>
      <c r="F113" s="12" t="s">
        <v>89</v>
      </c>
      <c r="G113" s="12"/>
    </row>
    <row r="114" spans="1:7" ht="25.5" x14ac:dyDescent="0.25">
      <c r="A114" s="10" t="s">
        <v>181</v>
      </c>
      <c r="B114" s="9" t="s">
        <v>497</v>
      </c>
      <c r="C114" s="9" t="s">
        <v>393</v>
      </c>
      <c r="D114" s="11" t="s">
        <v>84</v>
      </c>
      <c r="E114" s="11">
        <f>COUNTIF('Company industries'!$H$2:$H$66,A114)</f>
        <v>1</v>
      </c>
      <c r="F114" s="12" t="s">
        <v>89</v>
      </c>
      <c r="G114" s="12"/>
    </row>
    <row r="115" spans="1:7" x14ac:dyDescent="0.25">
      <c r="A115" s="10" t="s">
        <v>156</v>
      </c>
      <c r="B115" s="9" t="s">
        <v>323</v>
      </c>
      <c r="C115" s="9" t="s">
        <v>323</v>
      </c>
      <c r="D115" s="11" t="s">
        <v>84</v>
      </c>
      <c r="E115" s="11">
        <f>COUNTIF('Company industries'!$H$2:$H$66,A115)</f>
        <v>1</v>
      </c>
      <c r="F115" s="12" t="s">
        <v>89</v>
      </c>
      <c r="G115" s="12"/>
    </row>
    <row r="116" spans="1:7" x14ac:dyDescent="0.25">
      <c r="A116" s="10" t="s">
        <v>156</v>
      </c>
      <c r="B116" s="9" t="s">
        <v>452</v>
      </c>
      <c r="C116" s="9" t="s">
        <v>337</v>
      </c>
      <c r="D116" s="11" t="s">
        <v>84</v>
      </c>
      <c r="E116" s="11">
        <f>COUNTIF('Company industries'!$H$2:$H$66,A116)</f>
        <v>1</v>
      </c>
      <c r="F116" s="12" t="s">
        <v>89</v>
      </c>
      <c r="G116" s="12"/>
    </row>
    <row r="117" spans="1:7" x14ac:dyDescent="0.25">
      <c r="A117" s="10" t="s">
        <v>156</v>
      </c>
      <c r="B117" s="9" t="s">
        <v>498</v>
      </c>
      <c r="C117" s="9" t="s">
        <v>339</v>
      </c>
      <c r="D117" s="11" t="s">
        <v>84</v>
      </c>
      <c r="E117" s="11">
        <f>COUNTIF('Company industries'!$H$2:$H$66,A117)</f>
        <v>1</v>
      </c>
      <c r="F117" s="12" t="s">
        <v>89</v>
      </c>
      <c r="G117" s="12"/>
    </row>
    <row r="118" spans="1:7" x14ac:dyDescent="0.25">
      <c r="A118" s="10" t="s">
        <v>156</v>
      </c>
      <c r="B118" s="9" t="s">
        <v>480</v>
      </c>
      <c r="C118" s="9" t="s">
        <v>367</v>
      </c>
      <c r="D118" s="11" t="s">
        <v>84</v>
      </c>
      <c r="E118" s="11">
        <f>COUNTIF('Company industries'!$H$2:$H$66,A118)</f>
        <v>1</v>
      </c>
      <c r="F118" s="12" t="s">
        <v>89</v>
      </c>
      <c r="G118" s="12"/>
    </row>
    <row r="119" spans="1:7" x14ac:dyDescent="0.25">
      <c r="A119" s="10" t="s">
        <v>156</v>
      </c>
      <c r="B119" s="9" t="s">
        <v>499</v>
      </c>
      <c r="C119" s="9" t="s">
        <v>487</v>
      </c>
      <c r="D119" s="11" t="s">
        <v>84</v>
      </c>
      <c r="E119" s="11">
        <f>COUNTIF('Company industries'!$H$2:$H$66,A119)</f>
        <v>1</v>
      </c>
      <c r="F119" s="12" t="s">
        <v>89</v>
      </c>
      <c r="G119" s="12"/>
    </row>
    <row r="120" spans="1:7" x14ac:dyDescent="0.25">
      <c r="A120" s="10" t="s">
        <v>156</v>
      </c>
      <c r="B120" s="9" t="s">
        <v>496</v>
      </c>
      <c r="C120" s="9" t="s">
        <v>363</v>
      </c>
      <c r="D120" s="11" t="s">
        <v>84</v>
      </c>
      <c r="E120" s="11">
        <f>COUNTIF('Company industries'!$H$2:$H$66,A120)</f>
        <v>1</v>
      </c>
      <c r="F120" s="12" t="s">
        <v>89</v>
      </c>
      <c r="G120" s="12"/>
    </row>
    <row r="121" spans="1:7" x14ac:dyDescent="0.25">
      <c r="A121" s="10" t="s">
        <v>156</v>
      </c>
      <c r="B121" s="9" t="s">
        <v>500</v>
      </c>
      <c r="C121" s="9" t="s">
        <v>393</v>
      </c>
      <c r="D121" s="11" t="s">
        <v>84</v>
      </c>
      <c r="E121" s="11">
        <f>COUNTIF('Company industries'!$H$2:$H$66,A121)</f>
        <v>1</v>
      </c>
      <c r="F121" s="12" t="s">
        <v>89</v>
      </c>
      <c r="G121" s="12"/>
    </row>
    <row r="122" spans="1:7" ht="25.5" x14ac:dyDescent="0.25">
      <c r="A122" s="10" t="s">
        <v>175</v>
      </c>
      <c r="B122" s="9" t="s">
        <v>501</v>
      </c>
      <c r="C122" s="9" t="s">
        <v>323</v>
      </c>
      <c r="D122" s="11" t="s">
        <v>84</v>
      </c>
      <c r="E122" s="11">
        <f>COUNTIF('Company industries'!$H$2:$H$66,A122)</f>
        <v>1</v>
      </c>
      <c r="F122" s="12" t="s">
        <v>89</v>
      </c>
      <c r="G122" s="12"/>
    </row>
    <row r="123" spans="1:7" ht="25.5" x14ac:dyDescent="0.25">
      <c r="A123" s="10" t="s">
        <v>175</v>
      </c>
      <c r="B123" s="9" t="s">
        <v>423</v>
      </c>
      <c r="C123" s="9" t="s">
        <v>423</v>
      </c>
      <c r="D123" s="11" t="s">
        <v>84</v>
      </c>
      <c r="E123" s="11">
        <f>COUNTIF('Company industries'!$H$2:$H$66,A123)</f>
        <v>1</v>
      </c>
      <c r="F123" s="12" t="s">
        <v>89</v>
      </c>
      <c r="G123" s="12"/>
    </row>
    <row r="124" spans="1:7" ht="25.5" x14ac:dyDescent="0.25">
      <c r="A124" s="10" t="s">
        <v>175</v>
      </c>
      <c r="B124" s="9" t="s">
        <v>496</v>
      </c>
      <c r="C124" s="9" t="s">
        <v>363</v>
      </c>
      <c r="D124" s="11" t="s">
        <v>84</v>
      </c>
      <c r="E124" s="11">
        <f>COUNTIF('Company industries'!$H$2:$H$66,A124)</f>
        <v>1</v>
      </c>
      <c r="F124" s="12" t="s">
        <v>89</v>
      </c>
      <c r="G124" s="12"/>
    </row>
    <row r="125" spans="1:7" ht="25.5" x14ac:dyDescent="0.25">
      <c r="A125" s="10" t="s">
        <v>175</v>
      </c>
      <c r="B125" s="9" t="s">
        <v>502</v>
      </c>
      <c r="C125" s="9" t="s">
        <v>356</v>
      </c>
      <c r="D125" s="11" t="s">
        <v>84</v>
      </c>
      <c r="E125" s="11">
        <f>COUNTIF('Company industries'!$H$2:$H$66,A125)</f>
        <v>1</v>
      </c>
      <c r="F125" s="12" t="s">
        <v>89</v>
      </c>
      <c r="G125" s="12"/>
    </row>
    <row r="126" spans="1:7" ht="25.5" x14ac:dyDescent="0.25">
      <c r="A126" s="10" t="s">
        <v>175</v>
      </c>
      <c r="B126" s="9" t="s">
        <v>503</v>
      </c>
      <c r="C126" s="9" t="s">
        <v>393</v>
      </c>
      <c r="D126" s="11" t="s">
        <v>125</v>
      </c>
      <c r="E126" s="11">
        <f>COUNTIF('Company industries'!$H$2:$H$66,A126)</f>
        <v>1</v>
      </c>
      <c r="F126" s="12" t="s">
        <v>89</v>
      </c>
      <c r="G126" s="12"/>
    </row>
    <row r="127" spans="1:7" x14ac:dyDescent="0.25">
      <c r="A127" s="10" t="s">
        <v>151</v>
      </c>
      <c r="B127" s="9" t="s">
        <v>323</v>
      </c>
      <c r="C127" s="9" t="s">
        <v>323</v>
      </c>
      <c r="D127" s="11" t="s">
        <v>84</v>
      </c>
      <c r="E127" s="11">
        <f>COUNTIF('Company industries'!$H$2:$H$66,A127)</f>
        <v>1</v>
      </c>
      <c r="F127" s="12" t="s">
        <v>89</v>
      </c>
      <c r="G127" s="12"/>
    </row>
    <row r="128" spans="1:7" x14ac:dyDescent="0.25">
      <c r="A128" s="10" t="s">
        <v>151</v>
      </c>
      <c r="B128" s="9" t="s">
        <v>476</v>
      </c>
      <c r="C128" s="9" t="s">
        <v>339</v>
      </c>
      <c r="D128" s="11" t="s">
        <v>84</v>
      </c>
      <c r="E128" s="11">
        <f>COUNTIF('Company industries'!$H$2:$H$66,A128)</f>
        <v>1</v>
      </c>
      <c r="F128" s="12" t="s">
        <v>89</v>
      </c>
      <c r="G128" s="12"/>
    </row>
    <row r="129" spans="1:7" x14ac:dyDescent="0.25">
      <c r="A129" s="10" t="s">
        <v>151</v>
      </c>
      <c r="B129" s="9" t="s">
        <v>504</v>
      </c>
      <c r="C129" s="9" t="s">
        <v>380</v>
      </c>
      <c r="D129" s="11" t="s">
        <v>84</v>
      </c>
      <c r="E129" s="11">
        <f>COUNTIF('Company industries'!$H$2:$H$66,A129)</f>
        <v>1</v>
      </c>
      <c r="F129" s="12" t="s">
        <v>89</v>
      </c>
      <c r="G129" s="12"/>
    </row>
    <row r="130" spans="1:7" x14ac:dyDescent="0.25">
      <c r="A130" s="10" t="s">
        <v>151</v>
      </c>
      <c r="B130" s="9" t="s">
        <v>505</v>
      </c>
      <c r="C130" s="9" t="s">
        <v>371</v>
      </c>
      <c r="D130" s="11" t="s">
        <v>84</v>
      </c>
      <c r="E130" s="11">
        <f>COUNTIF('Company industries'!$H$2:$H$66,A130)</f>
        <v>1</v>
      </c>
      <c r="F130" s="12" t="s">
        <v>89</v>
      </c>
      <c r="G130" s="12"/>
    </row>
    <row r="131" spans="1:7" x14ac:dyDescent="0.25">
      <c r="A131" s="10" t="s">
        <v>151</v>
      </c>
      <c r="B131" s="9" t="s">
        <v>506</v>
      </c>
      <c r="C131" s="9" t="s">
        <v>367</v>
      </c>
      <c r="D131" s="11" t="s">
        <v>84</v>
      </c>
      <c r="E131" s="11">
        <f>COUNTIF('Company industries'!$H$2:$H$66,A131)</f>
        <v>1</v>
      </c>
      <c r="F131" s="12" t="s">
        <v>89</v>
      </c>
      <c r="G131" s="12"/>
    </row>
    <row r="132" spans="1:7" x14ac:dyDescent="0.25">
      <c r="A132" s="10" t="s">
        <v>151</v>
      </c>
      <c r="B132" s="9" t="s">
        <v>507</v>
      </c>
      <c r="C132" s="9" t="s">
        <v>487</v>
      </c>
      <c r="D132" s="11" t="s">
        <v>125</v>
      </c>
      <c r="E132" s="11">
        <f>COUNTIF('Company industries'!$H$2:$H$66,A132)</f>
        <v>1</v>
      </c>
      <c r="F132" s="12" t="s">
        <v>89</v>
      </c>
      <c r="G132" s="12"/>
    </row>
    <row r="133" spans="1:7" x14ac:dyDescent="0.25">
      <c r="A133" s="10" t="s">
        <v>151</v>
      </c>
      <c r="B133" s="9" t="s">
        <v>508</v>
      </c>
      <c r="C133" s="9" t="s">
        <v>376</v>
      </c>
      <c r="D133" s="11" t="s">
        <v>84</v>
      </c>
      <c r="E133" s="11">
        <f>COUNTIF('Company industries'!$H$2:$H$66,A133)</f>
        <v>1</v>
      </c>
      <c r="F133" s="12" t="s">
        <v>89</v>
      </c>
      <c r="G133" s="12"/>
    </row>
    <row r="134" spans="1:7" x14ac:dyDescent="0.25">
      <c r="A134" s="10" t="s">
        <v>151</v>
      </c>
      <c r="B134" s="9" t="s">
        <v>509</v>
      </c>
      <c r="C134" s="9" t="s">
        <v>356</v>
      </c>
      <c r="D134" s="11" t="s">
        <v>125</v>
      </c>
      <c r="E134" s="11">
        <f>COUNTIF('Company industries'!$H$2:$H$66,A134)</f>
        <v>1</v>
      </c>
      <c r="F134" s="12" t="s">
        <v>89</v>
      </c>
      <c r="G134" s="12"/>
    </row>
    <row r="135" spans="1:7" ht="25.5" x14ac:dyDescent="0.25">
      <c r="A135" s="10" t="s">
        <v>151</v>
      </c>
      <c r="B135" s="9" t="s">
        <v>510</v>
      </c>
      <c r="C135" s="9" t="s">
        <v>314</v>
      </c>
      <c r="D135" s="11" t="s">
        <v>84</v>
      </c>
      <c r="E135" s="11">
        <f>COUNTIF('Company industries'!$H$2:$H$66,A135)</f>
        <v>1</v>
      </c>
      <c r="F135" s="12" t="s">
        <v>89</v>
      </c>
      <c r="G135" s="12"/>
    </row>
    <row r="136" spans="1:7" x14ac:dyDescent="0.25">
      <c r="A136" s="10" t="s">
        <v>151</v>
      </c>
      <c r="B136" s="9" t="s">
        <v>511</v>
      </c>
      <c r="C136" s="9" t="s">
        <v>407</v>
      </c>
      <c r="D136" s="11" t="s">
        <v>84</v>
      </c>
      <c r="E136" s="11">
        <f>COUNTIF('Company industries'!$H$2:$H$66,A136)</f>
        <v>1</v>
      </c>
      <c r="F136" s="12" t="s">
        <v>89</v>
      </c>
      <c r="G136" s="12"/>
    </row>
    <row r="137" spans="1:7" x14ac:dyDescent="0.25">
      <c r="A137" s="10" t="s">
        <v>142</v>
      </c>
      <c r="B137" s="9" t="s">
        <v>479</v>
      </c>
      <c r="C137" s="9" t="s">
        <v>341</v>
      </c>
      <c r="D137" s="11" t="s">
        <v>84</v>
      </c>
      <c r="E137" s="11">
        <f>COUNTIF('Company industries'!$H$2:$H$66,A137)</f>
        <v>2</v>
      </c>
      <c r="F137" s="12" t="s">
        <v>89</v>
      </c>
      <c r="G137" s="12"/>
    </row>
    <row r="138" spans="1:7" x14ac:dyDescent="0.25">
      <c r="A138" s="10" t="s">
        <v>142</v>
      </c>
      <c r="B138" s="9" t="s">
        <v>455</v>
      </c>
      <c r="C138" s="9" t="s">
        <v>362</v>
      </c>
      <c r="D138" s="11" t="s">
        <v>84</v>
      </c>
      <c r="E138" s="11">
        <f>COUNTIF('Company industries'!$H$2:$H$66,A138)</f>
        <v>2</v>
      </c>
      <c r="F138" s="12" t="s">
        <v>89</v>
      </c>
      <c r="G138" s="12"/>
    </row>
    <row r="139" spans="1:7" x14ac:dyDescent="0.25">
      <c r="A139" s="10" t="s">
        <v>142</v>
      </c>
      <c r="B139" s="9" t="s">
        <v>512</v>
      </c>
      <c r="C139" s="9" t="s">
        <v>327</v>
      </c>
      <c r="D139" s="11" t="s">
        <v>84</v>
      </c>
      <c r="E139" s="11">
        <f>COUNTIF('Company industries'!$H$2:$H$66,A139)</f>
        <v>2</v>
      </c>
      <c r="F139" s="12" t="s">
        <v>89</v>
      </c>
      <c r="G139" s="12"/>
    </row>
    <row r="140" spans="1:7" x14ac:dyDescent="0.25">
      <c r="A140" s="10" t="s">
        <v>142</v>
      </c>
      <c r="B140" s="9" t="s">
        <v>513</v>
      </c>
      <c r="C140" s="9" t="s">
        <v>360</v>
      </c>
      <c r="D140" s="11" t="s">
        <v>125</v>
      </c>
      <c r="E140" s="11">
        <f>COUNTIF('Company industries'!$H$2:$H$66,A140)</f>
        <v>2</v>
      </c>
      <c r="F140" s="12" t="s">
        <v>89</v>
      </c>
      <c r="G140" s="12"/>
    </row>
    <row r="141" spans="1:7" x14ac:dyDescent="0.25">
      <c r="A141" s="10" t="s">
        <v>142</v>
      </c>
      <c r="B141" s="9" t="s">
        <v>514</v>
      </c>
      <c r="C141" s="9" t="s">
        <v>314</v>
      </c>
      <c r="D141" s="11" t="s">
        <v>84</v>
      </c>
      <c r="E141" s="11">
        <f>COUNTIF('Company industries'!$H$2:$H$66,A141)</f>
        <v>2</v>
      </c>
      <c r="F141" s="12" t="s">
        <v>89</v>
      </c>
      <c r="G141" s="12"/>
    </row>
    <row r="142" spans="1:7" x14ac:dyDescent="0.25">
      <c r="A142" s="10" t="s">
        <v>141</v>
      </c>
      <c r="B142" s="9" t="s">
        <v>323</v>
      </c>
      <c r="C142" s="9" t="s">
        <v>323</v>
      </c>
      <c r="D142" s="11" t="s">
        <v>84</v>
      </c>
      <c r="E142" s="11">
        <f>COUNTIF('Company industries'!$H$2:$H$66,A142)</f>
        <v>5</v>
      </c>
      <c r="F142" s="12" t="s">
        <v>89</v>
      </c>
      <c r="G142" s="12"/>
    </row>
    <row r="143" spans="1:7" x14ac:dyDescent="0.25">
      <c r="A143" s="10" t="s">
        <v>141</v>
      </c>
      <c r="B143" s="9" t="s">
        <v>452</v>
      </c>
      <c r="C143" s="9" t="s">
        <v>337</v>
      </c>
      <c r="D143" s="11" t="s">
        <v>84</v>
      </c>
      <c r="E143" s="11">
        <f>COUNTIF('Company industries'!$H$2:$H$66,A143)</f>
        <v>5</v>
      </c>
      <c r="F143" s="12" t="s">
        <v>89</v>
      </c>
      <c r="G143" s="12"/>
    </row>
    <row r="144" spans="1:7" x14ac:dyDescent="0.25">
      <c r="A144" s="10" t="s">
        <v>141</v>
      </c>
      <c r="B144" s="9" t="s">
        <v>515</v>
      </c>
      <c r="C144" s="9" t="s">
        <v>327</v>
      </c>
      <c r="D144" s="11" t="s">
        <v>125</v>
      </c>
      <c r="E144" s="11">
        <f>COUNTIF('Company industries'!$H$2:$H$66,A144)</f>
        <v>5</v>
      </c>
      <c r="F144" s="12" t="s">
        <v>89</v>
      </c>
      <c r="G144" s="12"/>
    </row>
    <row r="145" spans="1:7" x14ac:dyDescent="0.25">
      <c r="A145" s="10" t="s">
        <v>141</v>
      </c>
      <c r="B145" s="9" t="s">
        <v>514</v>
      </c>
      <c r="C145" s="9" t="s">
        <v>314</v>
      </c>
      <c r="D145" s="11" t="s">
        <v>84</v>
      </c>
      <c r="E145" s="11">
        <f>COUNTIF('Company industries'!$H$2:$H$66,A145)</f>
        <v>5</v>
      </c>
      <c r="F145" s="12" t="s">
        <v>89</v>
      </c>
      <c r="G145" s="12"/>
    </row>
    <row r="146" spans="1:7" ht="25.5" x14ac:dyDescent="0.25">
      <c r="A146" s="10" t="s">
        <v>198</v>
      </c>
      <c r="B146" s="9" t="s">
        <v>516</v>
      </c>
      <c r="C146" s="9" t="s">
        <v>313</v>
      </c>
      <c r="D146" s="11" t="s">
        <v>84</v>
      </c>
      <c r="E146" s="11">
        <f>COUNTIF('Company industries'!$H$2:$H$66,A146)</f>
        <v>1</v>
      </c>
      <c r="F146" s="12" t="s">
        <v>89</v>
      </c>
      <c r="G146" s="12"/>
    </row>
    <row r="147" spans="1:7" ht="25.5" x14ac:dyDescent="0.25">
      <c r="A147" s="10" t="s">
        <v>198</v>
      </c>
      <c r="B147" s="9" t="s">
        <v>451</v>
      </c>
      <c r="C147" s="9" t="s">
        <v>451</v>
      </c>
      <c r="D147" s="11" t="s">
        <v>84</v>
      </c>
      <c r="E147" s="11">
        <f>COUNTIF('Company industries'!$H$2:$H$66,A147)</f>
        <v>1</v>
      </c>
      <c r="F147" s="12" t="s">
        <v>89</v>
      </c>
      <c r="G147" s="12"/>
    </row>
    <row r="148" spans="1:7" ht="25.5" x14ac:dyDescent="0.25">
      <c r="A148" s="10" t="s">
        <v>198</v>
      </c>
      <c r="B148" s="9" t="s">
        <v>452</v>
      </c>
      <c r="C148" s="9" t="s">
        <v>337</v>
      </c>
      <c r="D148" s="11" t="s">
        <v>84</v>
      </c>
      <c r="E148" s="11">
        <f>COUNTIF('Company industries'!$H$2:$H$66,A148)</f>
        <v>1</v>
      </c>
      <c r="F148" s="12" t="s">
        <v>89</v>
      </c>
      <c r="G148" s="12"/>
    </row>
    <row r="149" spans="1:7" ht="25.5" x14ac:dyDescent="0.25">
      <c r="A149" s="10" t="s">
        <v>198</v>
      </c>
      <c r="B149" s="9" t="s">
        <v>517</v>
      </c>
      <c r="C149" s="9" t="s">
        <v>339</v>
      </c>
      <c r="D149" s="11" t="s">
        <v>84</v>
      </c>
      <c r="E149" s="11">
        <f>COUNTIF('Company industries'!$H$2:$H$66,A149)</f>
        <v>1</v>
      </c>
      <c r="F149" s="12" t="s">
        <v>89</v>
      </c>
      <c r="G149" s="12"/>
    </row>
    <row r="150" spans="1:7" ht="25.5" x14ac:dyDescent="0.25">
      <c r="A150" s="10" t="s">
        <v>198</v>
      </c>
      <c r="B150" s="9" t="s">
        <v>518</v>
      </c>
      <c r="C150" s="9" t="s">
        <v>371</v>
      </c>
      <c r="D150" s="11" t="s">
        <v>84</v>
      </c>
      <c r="E150" s="11">
        <f>COUNTIF('Company industries'!$H$2:$H$66,A150)</f>
        <v>1</v>
      </c>
      <c r="F150" s="12" t="s">
        <v>89</v>
      </c>
      <c r="G150" s="12"/>
    </row>
    <row r="151" spans="1:7" ht="25.5" x14ac:dyDescent="0.25">
      <c r="A151" s="10" t="s">
        <v>198</v>
      </c>
      <c r="B151" s="9" t="s">
        <v>455</v>
      </c>
      <c r="C151" s="9" t="s">
        <v>362</v>
      </c>
      <c r="D151" s="11" t="s">
        <v>84</v>
      </c>
      <c r="E151" s="11">
        <f>COUNTIF('Company industries'!$H$2:$H$66,A151)</f>
        <v>1</v>
      </c>
      <c r="F151" s="12" t="s">
        <v>89</v>
      </c>
      <c r="G151" s="12"/>
    </row>
    <row r="152" spans="1:7" ht="25.5" x14ac:dyDescent="0.25">
      <c r="A152" s="10" t="s">
        <v>198</v>
      </c>
      <c r="B152" s="9" t="s">
        <v>519</v>
      </c>
      <c r="C152" s="9" t="s">
        <v>317</v>
      </c>
      <c r="D152" s="11" t="s">
        <v>125</v>
      </c>
      <c r="E152" s="11">
        <f>COUNTIF('Company industries'!$H$2:$H$66,A152)</f>
        <v>1</v>
      </c>
      <c r="F152" s="12" t="s">
        <v>89</v>
      </c>
      <c r="G152" s="12"/>
    </row>
    <row r="153" spans="1:7" ht="25.5" x14ac:dyDescent="0.25">
      <c r="A153" s="10" t="s">
        <v>198</v>
      </c>
      <c r="B153" s="9" t="s">
        <v>520</v>
      </c>
      <c r="C153" s="9" t="s">
        <v>461</v>
      </c>
      <c r="D153" s="11" t="s">
        <v>84</v>
      </c>
      <c r="E153" s="11">
        <f>COUNTIF('Company industries'!$H$2:$H$66,A153)</f>
        <v>1</v>
      </c>
      <c r="F153" s="12" t="s">
        <v>89</v>
      </c>
      <c r="G153" s="12"/>
    </row>
    <row r="154" spans="1:7" ht="25.5" x14ac:dyDescent="0.25">
      <c r="A154" s="10" t="s">
        <v>198</v>
      </c>
      <c r="B154" s="9" t="s">
        <v>521</v>
      </c>
      <c r="C154" s="9" t="s">
        <v>461</v>
      </c>
      <c r="D154" s="11" t="s">
        <v>125</v>
      </c>
      <c r="E154" s="11">
        <f>COUNTIF('Company industries'!$H$2:$H$66,A154)</f>
        <v>1</v>
      </c>
      <c r="F154" s="12" t="s">
        <v>89</v>
      </c>
      <c r="G154" s="12"/>
    </row>
    <row r="155" spans="1:7" x14ac:dyDescent="0.25">
      <c r="A155" s="10" t="s">
        <v>220</v>
      </c>
      <c r="B155" s="9" t="s">
        <v>313</v>
      </c>
      <c r="C155" s="9" t="s">
        <v>313</v>
      </c>
      <c r="D155" s="11" t="s">
        <v>84</v>
      </c>
      <c r="E155" s="11">
        <f>COUNTIF('Company industries'!$H$2:$H$66,A155)</f>
        <v>2</v>
      </c>
      <c r="F155" s="12" t="s">
        <v>89</v>
      </c>
      <c r="G155" s="12"/>
    </row>
    <row r="156" spans="1:7" x14ac:dyDescent="0.25">
      <c r="A156" s="10" t="s">
        <v>220</v>
      </c>
      <c r="B156" s="9" t="s">
        <v>496</v>
      </c>
      <c r="C156" s="9" t="s">
        <v>363</v>
      </c>
      <c r="D156" s="11" t="s">
        <v>84</v>
      </c>
      <c r="E156" s="11">
        <f>COUNTIF('Company industries'!$H$2:$H$66,A156)</f>
        <v>2</v>
      </c>
      <c r="F156" s="12" t="s">
        <v>89</v>
      </c>
      <c r="G156" s="12"/>
    </row>
    <row r="157" spans="1:7" x14ac:dyDescent="0.25">
      <c r="A157" s="10" t="s">
        <v>220</v>
      </c>
      <c r="B157" s="9" t="s">
        <v>522</v>
      </c>
      <c r="C157" s="9" t="s">
        <v>449</v>
      </c>
      <c r="D157" s="11" t="s">
        <v>84</v>
      </c>
      <c r="E157" s="11">
        <f>COUNTIF('Company industries'!$H$2:$H$66,A157)</f>
        <v>2</v>
      </c>
      <c r="F157" s="12" t="s">
        <v>89</v>
      </c>
      <c r="G157" s="12"/>
    </row>
    <row r="158" spans="1:7" x14ac:dyDescent="0.25">
      <c r="A158" s="10" t="s">
        <v>220</v>
      </c>
      <c r="B158" s="9" t="s">
        <v>523</v>
      </c>
      <c r="C158" s="9" t="s">
        <v>461</v>
      </c>
      <c r="D158" s="11" t="s">
        <v>84</v>
      </c>
      <c r="E158" s="11">
        <f>COUNTIF('Company industries'!$H$2:$H$66,A158)</f>
        <v>2</v>
      </c>
      <c r="F158" s="12" t="s">
        <v>89</v>
      </c>
      <c r="G158" s="12"/>
    </row>
    <row r="159" spans="1:7" x14ac:dyDescent="0.25">
      <c r="A159" s="10" t="s">
        <v>246</v>
      </c>
      <c r="B159" s="9" t="s">
        <v>313</v>
      </c>
      <c r="C159" s="9" t="s">
        <v>313</v>
      </c>
      <c r="D159" s="11" t="s">
        <v>84</v>
      </c>
      <c r="E159" s="11">
        <f>COUNTIF('Company industries'!$H$2:$H$66,A159)</f>
        <v>1</v>
      </c>
      <c r="F159" s="12" t="s">
        <v>89</v>
      </c>
      <c r="G159" s="12"/>
    </row>
    <row r="160" spans="1:7" x14ac:dyDescent="0.25">
      <c r="A160" s="10" t="s">
        <v>246</v>
      </c>
      <c r="B160" s="9" t="s">
        <v>451</v>
      </c>
      <c r="C160" s="9" t="s">
        <v>451</v>
      </c>
      <c r="D160" s="11" t="s">
        <v>84</v>
      </c>
      <c r="E160" s="11">
        <f>COUNTIF('Company industries'!$H$2:$H$66,A160)</f>
        <v>1</v>
      </c>
      <c r="F160" s="12" t="s">
        <v>89</v>
      </c>
      <c r="G160" s="12"/>
    </row>
    <row r="161" spans="1:7" x14ac:dyDescent="0.25">
      <c r="A161" s="10" t="s">
        <v>246</v>
      </c>
      <c r="B161" s="9" t="s">
        <v>341</v>
      </c>
      <c r="C161" s="9" t="s">
        <v>341</v>
      </c>
      <c r="D161" s="11" t="s">
        <v>84</v>
      </c>
      <c r="E161" s="11">
        <f>COUNTIF('Company industries'!$H$2:$H$66,A161)</f>
        <v>1</v>
      </c>
      <c r="F161" s="12" t="s">
        <v>89</v>
      </c>
      <c r="G161" s="12"/>
    </row>
    <row r="162" spans="1:7" x14ac:dyDescent="0.25">
      <c r="A162" s="10" t="s">
        <v>246</v>
      </c>
      <c r="B162" s="9" t="s">
        <v>362</v>
      </c>
      <c r="C162" s="9" t="s">
        <v>362</v>
      </c>
      <c r="D162" s="11" t="s">
        <v>84</v>
      </c>
      <c r="E162" s="11">
        <f>COUNTIF('Company industries'!$H$2:$H$66,A162)</f>
        <v>1</v>
      </c>
      <c r="F162" s="12" t="s">
        <v>89</v>
      </c>
      <c r="G162" s="12"/>
    </row>
    <row r="163" spans="1:7" x14ac:dyDescent="0.25">
      <c r="A163" s="10" t="s">
        <v>246</v>
      </c>
      <c r="B163" s="9" t="s">
        <v>407</v>
      </c>
      <c r="C163" s="9" t="s">
        <v>407</v>
      </c>
      <c r="D163" s="11" t="s">
        <v>84</v>
      </c>
      <c r="E163" s="11">
        <f>COUNTIF('Company industries'!$H$2:$H$66,A163)</f>
        <v>1</v>
      </c>
      <c r="F163" s="12" t="s">
        <v>89</v>
      </c>
      <c r="G163" s="12"/>
    </row>
    <row r="164" spans="1:7" x14ac:dyDescent="0.25">
      <c r="A164" s="10" t="s">
        <v>246</v>
      </c>
      <c r="B164" s="9" t="s">
        <v>523</v>
      </c>
      <c r="C164" s="9" t="s">
        <v>461</v>
      </c>
      <c r="D164" s="11" t="s">
        <v>84</v>
      </c>
      <c r="E164" s="11">
        <f>COUNTIF('Company industries'!$H$2:$H$66,A164)</f>
        <v>1</v>
      </c>
      <c r="F164" s="12" t="s">
        <v>89</v>
      </c>
      <c r="G164" s="12"/>
    </row>
    <row r="165" spans="1:7" x14ac:dyDescent="0.25">
      <c r="A165" s="10" t="s">
        <v>289</v>
      </c>
      <c r="B165" s="9" t="s">
        <v>323</v>
      </c>
      <c r="C165" s="9" t="s">
        <v>323</v>
      </c>
      <c r="D165" s="11" t="s">
        <v>84</v>
      </c>
      <c r="E165" s="11">
        <f>COUNTIF('Company industries'!$H$2:$H$66,A165)</f>
        <v>1</v>
      </c>
      <c r="F165" s="12" t="s">
        <v>89</v>
      </c>
      <c r="G165" s="12"/>
    </row>
    <row r="166" spans="1:7" x14ac:dyDescent="0.25">
      <c r="A166" s="10" t="s">
        <v>289</v>
      </c>
      <c r="B166" s="9" t="s">
        <v>452</v>
      </c>
      <c r="C166" s="9" t="s">
        <v>337</v>
      </c>
      <c r="D166" s="11" t="s">
        <v>84</v>
      </c>
      <c r="E166" s="11">
        <f>COUNTIF('Company industries'!$H$2:$H$66,A166)</f>
        <v>1</v>
      </c>
      <c r="F166" s="12" t="s">
        <v>89</v>
      </c>
      <c r="G166" s="12"/>
    </row>
    <row r="167" spans="1:7" x14ac:dyDescent="0.25">
      <c r="A167" s="10" t="s">
        <v>289</v>
      </c>
      <c r="B167" s="9" t="s">
        <v>341</v>
      </c>
      <c r="C167" s="9" t="s">
        <v>341</v>
      </c>
      <c r="D167" s="11" t="s">
        <v>84</v>
      </c>
      <c r="E167" s="11">
        <f>COUNTIF('Company industries'!$H$2:$H$66,A167)</f>
        <v>1</v>
      </c>
      <c r="F167" s="12" t="s">
        <v>89</v>
      </c>
      <c r="G167" s="12"/>
    </row>
    <row r="168" spans="1:7" x14ac:dyDescent="0.25">
      <c r="A168" s="10" t="s">
        <v>289</v>
      </c>
      <c r="B168" s="9" t="s">
        <v>496</v>
      </c>
      <c r="C168" s="9" t="s">
        <v>363</v>
      </c>
      <c r="D168" s="11" t="s">
        <v>84</v>
      </c>
      <c r="E168" s="11">
        <f>COUNTIF('Company industries'!$H$2:$H$66,A168)</f>
        <v>1</v>
      </c>
      <c r="F168" s="12" t="s">
        <v>89</v>
      </c>
      <c r="G168" s="12"/>
    </row>
    <row r="169" spans="1:7" x14ac:dyDescent="0.25">
      <c r="A169" s="10" t="s">
        <v>289</v>
      </c>
      <c r="B169" s="9" t="s">
        <v>514</v>
      </c>
      <c r="C169" s="9" t="s">
        <v>314</v>
      </c>
      <c r="D169" s="11" t="s">
        <v>84</v>
      </c>
      <c r="E169" s="11">
        <f>COUNTIF('Company industries'!$H$2:$H$66,A169)</f>
        <v>1</v>
      </c>
      <c r="F169" s="12" t="s">
        <v>89</v>
      </c>
      <c r="G169" s="12"/>
    </row>
  </sheetData>
  <autoFilter ref="A1:G169" xr:uid="{00000000-0009-0000-0000-000003000000}"/>
  <dataValidations count="1">
    <dataValidation type="list" allowBlank="1" sqref="F2:F169" xr:uid="{00000000-0002-0000-0300-000000000000}">
      <formula1>"Yes,No"</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0"/>
  <sheetViews>
    <sheetView zoomScaleNormal="100" workbookViewId="0">
      <pane xSplit="2" ySplit="1" topLeftCell="C2" activePane="bottomRight" state="frozen"/>
      <selection pane="topRight" activeCell="C1" sqref="C1"/>
      <selection pane="bottomLeft" activeCell="A2" sqref="A2"/>
      <selection pane="bottomRight" activeCell="F21" sqref="F21"/>
    </sheetView>
  </sheetViews>
  <sheetFormatPr defaultColWidth="8.7109375" defaultRowHeight="15" x14ac:dyDescent="0.25"/>
  <cols>
    <col min="1" max="1" width="26" customWidth="1"/>
    <col min="2" max="2" width="44" customWidth="1"/>
    <col min="3" max="3" width="64" customWidth="1"/>
    <col min="4" max="4" width="16" customWidth="1"/>
    <col min="5" max="5" width="18" customWidth="1"/>
    <col min="6" max="6" width="44" customWidth="1"/>
  </cols>
  <sheetData>
    <row r="1" spans="1:6" ht="31.5" customHeight="1" x14ac:dyDescent="0.25">
      <c r="A1" s="7" t="s">
        <v>524</v>
      </c>
      <c r="B1" s="7" t="s">
        <v>525</v>
      </c>
      <c r="C1" s="7" t="s">
        <v>526</v>
      </c>
      <c r="D1" s="7" t="s">
        <v>527</v>
      </c>
      <c r="E1" s="7" t="s">
        <v>528</v>
      </c>
      <c r="F1" s="7" t="s">
        <v>529</v>
      </c>
    </row>
    <row r="2" spans="1:6" x14ac:dyDescent="0.25">
      <c r="A2" s="9" t="s">
        <v>530</v>
      </c>
      <c r="B2" s="10" t="s">
        <v>313</v>
      </c>
      <c r="C2" s="9" t="s">
        <v>531</v>
      </c>
      <c r="D2" s="11">
        <f>COUNTIF('Term mapping'!$E$2:$E$68,B2)+COUNTIF('Term mapping'!$F$2:$F$68,B2)</f>
        <v>5</v>
      </c>
      <c r="E2" s="11">
        <f>SUMPRODUCT(('Industry materiality'!$C$2:$C$169=B2)/COUNTIFS('Industry materiality'!$A$2:$A$169,'Industry materiality'!$A$2:$A$169,'Industry materiality'!$C$2:$C$169,'Industry materiality'!$C$2:$C$169))</f>
        <v>13</v>
      </c>
      <c r="F2" s="21" t="str">
        <f t="shared" ref="F2:F27" si="0">B2</f>
        <v>GHG Emissions</v>
      </c>
    </row>
    <row r="3" spans="1:6" x14ac:dyDescent="0.25">
      <c r="A3" s="9" t="s">
        <v>530</v>
      </c>
      <c r="B3" s="10" t="s">
        <v>451</v>
      </c>
      <c r="C3" s="9" t="s">
        <v>532</v>
      </c>
      <c r="D3" s="11">
        <f>COUNTIF('Term mapping'!$E$2:$E$68,B3)+COUNTIF('Term mapping'!$F$2:$F$68,B3)</f>
        <v>0</v>
      </c>
      <c r="E3" s="11">
        <f>SUMPRODUCT(('Industry materiality'!$C$2:$C$169=B3)/COUNTIFS('Industry materiality'!$A$2:$A$169,'Industry materiality'!$A$2:$A$169,'Industry materiality'!$C$2:$C$169,'Industry materiality'!$C$2:$C$169))</f>
        <v>8</v>
      </c>
      <c r="F3" s="21" t="str">
        <f t="shared" si="0"/>
        <v>Air Quality</v>
      </c>
    </row>
    <row r="4" spans="1:6" ht="25.5" x14ac:dyDescent="0.25">
      <c r="A4" s="9" t="s">
        <v>530</v>
      </c>
      <c r="B4" s="10" t="s">
        <v>323</v>
      </c>
      <c r="C4" s="9" t="s">
        <v>533</v>
      </c>
      <c r="D4" s="11">
        <f>COUNTIF('Term mapping'!$E$2:$E$68,B4)+COUNTIF('Term mapping'!$F$2:$F$68,B4)</f>
        <v>2</v>
      </c>
      <c r="E4" s="11">
        <f>SUMPRODUCT(('Industry materiality'!$C$2:$C$169=B4)/COUNTIFS('Industry materiality'!$A$2:$A$169,'Industry materiality'!$A$2:$A$169,'Industry materiality'!$C$2:$C$169,'Industry materiality'!$C$2:$C$169))</f>
        <v>13</v>
      </c>
      <c r="F4" s="21" t="str">
        <f t="shared" si="0"/>
        <v>Energy Management</v>
      </c>
    </row>
    <row r="5" spans="1:6" x14ac:dyDescent="0.25">
      <c r="A5" s="9" t="s">
        <v>530</v>
      </c>
      <c r="B5" s="10" t="s">
        <v>337</v>
      </c>
      <c r="C5" s="9" t="s">
        <v>534</v>
      </c>
      <c r="D5" s="11">
        <f>COUNTIF('Term mapping'!$E$2:$E$68,B5)+COUNTIF('Term mapping'!$F$2:$F$68,B5)</f>
        <v>1</v>
      </c>
      <c r="E5" s="11">
        <f>SUMPRODUCT(('Industry materiality'!$C$2:$C$169=B5)/COUNTIFS('Industry materiality'!$A$2:$A$169,'Industry materiality'!$A$2:$A$169,'Industry materiality'!$C$2:$C$169,'Industry materiality'!$C$2:$C$169))</f>
        <v>13</v>
      </c>
      <c r="F5" s="21" t="str">
        <f t="shared" si="0"/>
        <v>Water &amp; Wastewater Management</v>
      </c>
    </row>
    <row r="6" spans="1:6" x14ac:dyDescent="0.25">
      <c r="A6" s="9" t="s">
        <v>530</v>
      </c>
      <c r="B6" s="10" t="s">
        <v>339</v>
      </c>
      <c r="C6" s="9" t="s">
        <v>535</v>
      </c>
      <c r="D6" s="11">
        <f>COUNTIF('Term mapping'!$E$2:$E$68,B6)+COUNTIF('Term mapping'!$F$2:$F$68,B6)</f>
        <v>1</v>
      </c>
      <c r="E6" s="11">
        <f>SUMPRODUCT(('Industry materiality'!$C$2:$C$169=B6)/COUNTIFS('Industry materiality'!$A$2:$A$169,'Industry materiality'!$A$2:$A$169,'Industry materiality'!$C$2:$C$169,'Industry materiality'!$C$2:$C$169))</f>
        <v>10</v>
      </c>
      <c r="F6" s="21" t="str">
        <f t="shared" si="0"/>
        <v>Waste &amp; Hazardous Materials Management</v>
      </c>
    </row>
    <row r="7" spans="1:6" x14ac:dyDescent="0.25">
      <c r="A7" s="9" t="s">
        <v>530</v>
      </c>
      <c r="B7" s="10" t="s">
        <v>341</v>
      </c>
      <c r="C7" s="9" t="s">
        <v>536</v>
      </c>
      <c r="D7" s="11">
        <f>COUNTIF('Term mapping'!$E$2:$E$68,B7)+COUNTIF('Term mapping'!$F$2:$F$68,B7)</f>
        <v>3</v>
      </c>
      <c r="E7" s="11">
        <f>SUMPRODUCT(('Industry materiality'!$C$2:$C$169=B7)/COUNTIFS('Industry materiality'!$A$2:$A$169,'Industry materiality'!$A$2:$A$169,'Industry materiality'!$C$2:$C$169,'Industry materiality'!$C$2:$C$169))</f>
        <v>8</v>
      </c>
      <c r="F7" s="21" t="str">
        <f t="shared" si="0"/>
        <v>Ecological Impacts</v>
      </c>
    </row>
    <row r="8" spans="1:6" x14ac:dyDescent="0.25">
      <c r="A8" s="9" t="s">
        <v>537</v>
      </c>
      <c r="B8" s="10" t="s">
        <v>360</v>
      </c>
      <c r="C8" s="9" t="s">
        <v>538</v>
      </c>
      <c r="D8" s="11">
        <f>COUNTIF('Term mapping'!$E$2:$E$68,B8)+COUNTIF('Term mapping'!$F$2:$F$68,B8)</f>
        <v>3</v>
      </c>
      <c r="E8" s="11">
        <f>SUMPRODUCT(('Industry materiality'!$C$2:$C$169=B8)/COUNTIFS('Industry materiality'!$A$2:$A$169,'Industry materiality'!$A$2:$A$169,'Industry materiality'!$C$2:$C$169,'Industry materiality'!$C$2:$C$169))</f>
        <v>4</v>
      </c>
      <c r="F8" s="21" t="str">
        <f t="shared" si="0"/>
        <v>Human Rights &amp; Community Relations</v>
      </c>
    </row>
    <row r="9" spans="1:6" x14ac:dyDescent="0.25">
      <c r="A9" s="9" t="s">
        <v>537</v>
      </c>
      <c r="B9" s="10" t="s">
        <v>380</v>
      </c>
      <c r="C9" s="9" t="s">
        <v>539</v>
      </c>
      <c r="D9" s="11">
        <f>COUNTIF('Term mapping'!$E$2:$E$68,B9)+COUNTIF('Term mapping'!$F$2:$F$68,B9)</f>
        <v>2</v>
      </c>
      <c r="E9" s="11">
        <f>SUMPRODUCT(('Industry materiality'!$C$2:$C$169=B9)/COUNTIFS('Industry materiality'!$A$2:$A$169,'Industry materiality'!$A$2:$A$169,'Industry materiality'!$C$2:$C$169,'Industry materiality'!$C$2:$C$169))</f>
        <v>2</v>
      </c>
      <c r="F9" s="21" t="str">
        <f t="shared" si="0"/>
        <v>Customer Privacy</v>
      </c>
    </row>
    <row r="10" spans="1:6" x14ac:dyDescent="0.25">
      <c r="A10" s="9" t="s">
        <v>537</v>
      </c>
      <c r="B10" s="10" t="s">
        <v>423</v>
      </c>
      <c r="C10" s="9" t="s">
        <v>540</v>
      </c>
      <c r="D10" s="11">
        <f>COUNTIF('Term mapping'!$E$2:$E$68,B10)+COUNTIF('Term mapping'!$F$2:$F$68,B10)</f>
        <v>4</v>
      </c>
      <c r="E10" s="11">
        <f>SUMPRODUCT(('Industry materiality'!$C$2:$C$169=B10)/COUNTIFS('Industry materiality'!$A$2:$A$169,'Industry materiality'!$A$2:$A$169,'Industry materiality'!$C$2:$C$169,'Industry materiality'!$C$2:$C$169))</f>
        <v>4</v>
      </c>
      <c r="F10" s="21" t="str">
        <f t="shared" si="0"/>
        <v>Data Security</v>
      </c>
    </row>
    <row r="11" spans="1:6" x14ac:dyDescent="0.25">
      <c r="A11" s="9" t="s">
        <v>537</v>
      </c>
      <c r="B11" s="10" t="s">
        <v>371</v>
      </c>
      <c r="C11" s="9" t="s">
        <v>541</v>
      </c>
      <c r="D11" s="11">
        <f>COUNTIF('Term mapping'!$E$2:$E$68,B11)+COUNTIF('Term mapping'!$F$2:$F$68,B11)</f>
        <v>5</v>
      </c>
      <c r="E11" s="11">
        <f>SUMPRODUCT(('Industry materiality'!$C$2:$C$169=B11)/COUNTIFS('Industry materiality'!$A$2:$A$169,'Industry materiality'!$A$2:$A$169,'Industry materiality'!$C$2:$C$169,'Industry materiality'!$C$2:$C$169))</f>
        <v>3</v>
      </c>
      <c r="F11" s="21" t="str">
        <f t="shared" si="0"/>
        <v>Access &amp; Affordability</v>
      </c>
    </row>
    <row r="12" spans="1:6" x14ac:dyDescent="0.25">
      <c r="A12" s="9" t="s">
        <v>537</v>
      </c>
      <c r="B12" s="10" t="s">
        <v>367</v>
      </c>
      <c r="C12" s="9" t="s">
        <v>542</v>
      </c>
      <c r="D12" s="11">
        <f>COUNTIF('Term mapping'!$E$2:$E$68,B12)+COUNTIF('Term mapping'!$F$2:$F$68,B12)</f>
        <v>1</v>
      </c>
      <c r="E12" s="11">
        <f>SUMPRODUCT(('Industry materiality'!$C$2:$C$169=B12)/COUNTIFS('Industry materiality'!$A$2:$A$169,'Industry materiality'!$A$2:$A$169,'Industry materiality'!$C$2:$C$169,'Industry materiality'!$C$2:$C$169))</f>
        <v>6</v>
      </c>
      <c r="F12" s="21" t="str">
        <f t="shared" si="0"/>
        <v>Product Quality &amp; Safety</v>
      </c>
    </row>
    <row r="13" spans="1:6" x14ac:dyDescent="0.25">
      <c r="A13" s="9" t="s">
        <v>537</v>
      </c>
      <c r="B13" s="10" t="s">
        <v>487</v>
      </c>
      <c r="C13" s="9" t="s">
        <v>543</v>
      </c>
      <c r="D13" s="11">
        <f>COUNTIF('Term mapping'!$E$2:$E$68,B13)+COUNTIF('Term mapping'!$F$2:$F$68,B13)</f>
        <v>0</v>
      </c>
      <c r="E13" s="11">
        <f>SUMPRODUCT(('Industry materiality'!$C$2:$C$169=B13)/COUNTIFS('Industry materiality'!$A$2:$A$169,'Industry materiality'!$A$2:$A$169,'Industry materiality'!$C$2:$C$169,'Industry materiality'!$C$2:$C$169))</f>
        <v>4</v>
      </c>
      <c r="F13" s="21" t="str">
        <f t="shared" si="0"/>
        <v>Customer Welfare</v>
      </c>
    </row>
    <row r="14" spans="1:6" x14ac:dyDescent="0.25">
      <c r="A14" s="9" t="s">
        <v>537</v>
      </c>
      <c r="B14" s="10" t="s">
        <v>376</v>
      </c>
      <c r="C14" s="9" t="s">
        <v>544</v>
      </c>
      <c r="D14" s="11">
        <f>COUNTIF('Term mapping'!$E$2:$E$68,B14)+COUNTIF('Term mapping'!$F$2:$F$68,B14)</f>
        <v>2</v>
      </c>
      <c r="E14" s="11">
        <f>SUMPRODUCT(('Industry materiality'!$C$2:$C$169=B14)/COUNTIFS('Industry materiality'!$A$2:$A$169,'Industry materiality'!$A$2:$A$169,'Industry materiality'!$C$2:$C$169,'Industry materiality'!$C$2:$C$169))</f>
        <v>4</v>
      </c>
      <c r="F14" s="21" t="str">
        <f t="shared" si="0"/>
        <v>Selling Practices &amp; Product Labeling</v>
      </c>
    </row>
    <row r="15" spans="1:6" x14ac:dyDescent="0.25">
      <c r="A15" s="9" t="s">
        <v>545</v>
      </c>
      <c r="B15" s="10" t="s">
        <v>363</v>
      </c>
      <c r="C15" s="9" t="s">
        <v>546</v>
      </c>
      <c r="D15" s="11">
        <f>COUNTIF('Term mapping'!$E$2:$E$68,B15)+COUNTIF('Term mapping'!$F$2:$F$68,B15)</f>
        <v>1</v>
      </c>
      <c r="E15" s="11">
        <f>SUMPRODUCT(('Industry materiality'!$C$2:$C$169=B15)/COUNTIFS('Industry materiality'!$A$2:$A$169,'Industry materiality'!$A$2:$A$169,'Industry materiality'!$C$2:$C$169,'Industry materiality'!$C$2:$C$169))</f>
        <v>6</v>
      </c>
      <c r="F15" s="21" t="str">
        <f t="shared" si="0"/>
        <v>Labor Practices</v>
      </c>
    </row>
    <row r="16" spans="1:6" x14ac:dyDescent="0.25">
      <c r="A16" s="9" t="s">
        <v>545</v>
      </c>
      <c r="B16" s="10" t="s">
        <v>362</v>
      </c>
      <c r="C16" s="9" t="s">
        <v>547</v>
      </c>
      <c r="D16" s="11">
        <f>COUNTIF('Term mapping'!$E$2:$E$68,B16)+COUNTIF('Term mapping'!$F$2:$F$68,B16)</f>
        <v>2</v>
      </c>
      <c r="E16" s="11">
        <f>SUMPRODUCT(('Industry materiality'!$C$2:$C$169=B16)/COUNTIFS('Industry materiality'!$A$2:$A$169,'Industry materiality'!$A$2:$A$169,'Industry materiality'!$C$2:$C$169,'Industry materiality'!$C$2:$C$169))</f>
        <v>11</v>
      </c>
      <c r="F16" s="21" t="str">
        <f t="shared" si="0"/>
        <v>Employee Health &amp; Safety</v>
      </c>
    </row>
    <row r="17" spans="1:6" x14ac:dyDescent="0.25">
      <c r="A17" s="9" t="s">
        <v>545</v>
      </c>
      <c r="B17" s="10" t="s">
        <v>356</v>
      </c>
      <c r="C17" s="9" t="s">
        <v>548</v>
      </c>
      <c r="D17" s="11">
        <f>COUNTIF('Term mapping'!$E$2:$E$68,B17)+COUNTIF('Term mapping'!$F$2:$F$68,B17)</f>
        <v>3</v>
      </c>
      <c r="E17" s="11">
        <f>SUMPRODUCT(('Industry materiality'!$C$2:$C$169=B17)/COUNTIFS('Industry materiality'!$A$2:$A$169,'Industry materiality'!$A$2:$A$169,'Industry materiality'!$C$2:$C$169,'Industry materiality'!$C$2:$C$169))</f>
        <v>3</v>
      </c>
      <c r="F17" s="21" t="str">
        <f t="shared" si="0"/>
        <v>Employee Engagement, Diversity &amp; Inclusion</v>
      </c>
    </row>
    <row r="18" spans="1:6" ht="25.5" x14ac:dyDescent="0.25">
      <c r="A18" s="9" t="s">
        <v>549</v>
      </c>
      <c r="B18" s="10" t="s">
        <v>327</v>
      </c>
      <c r="C18" s="9" t="s">
        <v>550</v>
      </c>
      <c r="D18" s="11">
        <f>COUNTIF('Term mapping'!$E$2:$E$68,B18)+COUNTIF('Term mapping'!$F$2:$F$68,B18)</f>
        <v>3</v>
      </c>
      <c r="E18" s="11">
        <f>SUMPRODUCT(('Industry materiality'!$C$2:$C$169=B18)/COUNTIFS('Industry materiality'!$A$2:$A$169,'Industry materiality'!$A$2:$A$169,'Industry materiality'!$C$2:$C$169,'Industry materiality'!$C$2:$C$169))</f>
        <v>8</v>
      </c>
      <c r="F18" s="21" t="str">
        <f t="shared" si="0"/>
        <v>Product Design &amp; Lifecycle Management</v>
      </c>
    </row>
    <row r="19" spans="1:6" ht="25.5" x14ac:dyDescent="0.25">
      <c r="A19" s="9" t="s">
        <v>549</v>
      </c>
      <c r="B19" s="10" t="s">
        <v>317</v>
      </c>
      <c r="C19" s="9" t="s">
        <v>551</v>
      </c>
      <c r="D19" s="11">
        <f>COUNTIF('Term mapping'!$E$2:$E$68,B19)+COUNTIF('Term mapping'!$F$2:$F$68,B19)</f>
        <v>1</v>
      </c>
      <c r="E19" s="11">
        <f>SUMPRODUCT(('Industry materiality'!$C$2:$C$169=B19)/COUNTIFS('Industry materiality'!$A$2:$A$169,'Industry materiality'!$A$2:$A$169,'Industry materiality'!$C$2:$C$169,'Industry materiality'!$C$2:$C$169))</f>
        <v>3</v>
      </c>
      <c r="F19" s="21" t="str">
        <f t="shared" si="0"/>
        <v>Business Model Resilience</v>
      </c>
    </row>
    <row r="20" spans="1:6" x14ac:dyDescent="0.25">
      <c r="A20" s="9" t="s">
        <v>549</v>
      </c>
      <c r="B20" s="10" t="s">
        <v>393</v>
      </c>
      <c r="C20" s="9" t="s">
        <v>552</v>
      </c>
      <c r="D20" s="11">
        <f>COUNTIF('Term mapping'!$E$2:$E$68,B20)+COUNTIF('Term mapping'!$F$2:$F$68,B20)</f>
        <v>1</v>
      </c>
      <c r="E20" s="11">
        <f>SUMPRODUCT(('Industry materiality'!$C$2:$C$169=B20)/COUNTIFS('Industry materiality'!$A$2:$A$169,'Industry materiality'!$A$2:$A$169,'Industry materiality'!$C$2:$C$169,'Industry materiality'!$C$2:$C$169))</f>
        <v>6</v>
      </c>
      <c r="F20" s="21" t="str">
        <f t="shared" si="0"/>
        <v>Supply Chain Management</v>
      </c>
    </row>
    <row r="21" spans="1:6" x14ac:dyDescent="0.25">
      <c r="A21" s="9" t="s">
        <v>549</v>
      </c>
      <c r="B21" s="10" t="s">
        <v>485</v>
      </c>
      <c r="C21" s="9" t="s">
        <v>553</v>
      </c>
      <c r="D21" s="11">
        <f>COUNTIF('Term mapping'!$E$2:$E$68,B21)+COUNTIF('Term mapping'!$F$2:$F$68,B21)</f>
        <v>0</v>
      </c>
      <c r="E21" s="11">
        <f>SUMPRODUCT(('Industry materiality'!$C$2:$C$169=B21)/COUNTIFS('Industry materiality'!$A$2:$A$169,'Industry materiality'!$A$2:$A$169,'Industry materiality'!$C$2:$C$169,'Industry materiality'!$C$2:$C$169))</f>
        <v>2</v>
      </c>
      <c r="F21" s="21" t="str">
        <f t="shared" si="0"/>
        <v>Materials Sourcing &amp; Efficiency</v>
      </c>
    </row>
    <row r="22" spans="1:6" x14ac:dyDescent="0.25">
      <c r="A22" s="9" t="s">
        <v>549</v>
      </c>
      <c r="B22" s="10" t="s">
        <v>314</v>
      </c>
      <c r="C22" s="9" t="s">
        <v>554</v>
      </c>
      <c r="D22" s="11">
        <f>COUNTIF('Term mapping'!$E$2:$E$68,B22)+COUNTIF('Term mapping'!$F$2:$F$68,B22)</f>
        <v>2</v>
      </c>
      <c r="E22" s="11">
        <f>SUMPRODUCT(('Industry materiality'!$C$2:$C$169=B22)/COUNTIFS('Industry materiality'!$A$2:$A$169,'Industry materiality'!$A$2:$A$169,'Industry materiality'!$C$2:$C$169,'Industry materiality'!$C$2:$C$169))</f>
        <v>4</v>
      </c>
      <c r="F22" s="21" t="str">
        <f t="shared" si="0"/>
        <v>Physical Impacts of Climate Change</v>
      </c>
    </row>
    <row r="23" spans="1:6" x14ac:dyDescent="0.25">
      <c r="A23" s="9" t="s">
        <v>555</v>
      </c>
      <c r="B23" s="10" t="s">
        <v>407</v>
      </c>
      <c r="C23" s="9" t="s">
        <v>556</v>
      </c>
      <c r="D23" s="11">
        <f>COUNTIF('Term mapping'!$E$2:$E$68,B23)+COUNTIF('Term mapping'!$F$2:$F$68,B23)</f>
        <v>6</v>
      </c>
      <c r="E23" s="11">
        <f>SUMPRODUCT(('Industry materiality'!$C$2:$C$169=B23)/COUNTIFS('Industry materiality'!$A$2:$A$169,'Industry materiality'!$A$2:$A$169,'Industry materiality'!$C$2:$C$169,'Industry materiality'!$C$2:$C$169))</f>
        <v>7</v>
      </c>
      <c r="F23" s="21" t="str">
        <f t="shared" si="0"/>
        <v>Business Ethics</v>
      </c>
    </row>
    <row r="24" spans="1:6" x14ac:dyDescent="0.25">
      <c r="A24" s="9" t="s">
        <v>555</v>
      </c>
      <c r="B24" s="10" t="s">
        <v>449</v>
      </c>
      <c r="C24" s="9" t="s">
        <v>557</v>
      </c>
      <c r="D24" s="11">
        <f>COUNTIF('Term mapping'!$E$2:$E$68,B24)+COUNTIF('Term mapping'!$F$2:$F$68,B24)</f>
        <v>0</v>
      </c>
      <c r="E24" s="11">
        <f>SUMPRODUCT(('Industry materiality'!$C$2:$C$169=B24)/COUNTIFS('Industry materiality'!$A$2:$A$169,'Industry materiality'!$A$2:$A$169,'Industry materiality'!$C$2:$C$169,'Industry materiality'!$C$2:$C$169))</f>
        <v>4</v>
      </c>
      <c r="F24" s="21" t="str">
        <f t="shared" si="0"/>
        <v>Competitive Behavior</v>
      </c>
    </row>
    <row r="25" spans="1:6" ht="25.5" x14ac:dyDescent="0.25">
      <c r="A25" s="9" t="s">
        <v>555</v>
      </c>
      <c r="B25" s="10" t="s">
        <v>459</v>
      </c>
      <c r="C25" s="9" t="s">
        <v>558</v>
      </c>
      <c r="D25" s="11">
        <f>COUNTIF('Term mapping'!$E$2:$E$68,B25)+COUNTIF('Term mapping'!$F$2:$F$68,B25)</f>
        <v>0</v>
      </c>
      <c r="E25" s="11">
        <f>SUMPRODUCT(('Industry materiality'!$C$2:$C$169=B25)/COUNTIFS('Industry materiality'!$A$2:$A$169,'Industry materiality'!$A$2:$A$169,'Industry materiality'!$C$2:$C$169,'Industry materiality'!$C$2:$C$169))</f>
        <v>4</v>
      </c>
      <c r="F25" s="21" t="str">
        <f t="shared" si="0"/>
        <v>Management of the Legal &amp; Regulatory Environment</v>
      </c>
    </row>
    <row r="26" spans="1:6" x14ac:dyDescent="0.25">
      <c r="A26" s="9" t="s">
        <v>555</v>
      </c>
      <c r="B26" s="10" t="s">
        <v>461</v>
      </c>
      <c r="C26" s="9" t="s">
        <v>559</v>
      </c>
      <c r="D26" s="11">
        <f>COUNTIF('Term mapping'!$E$2:$E$68,B26)+COUNTIF('Term mapping'!$F$2:$F$68,B26)</f>
        <v>0</v>
      </c>
      <c r="E26" s="11">
        <f>SUMPRODUCT(('Industry materiality'!$C$2:$C$169=B26)/COUNTIFS('Industry materiality'!$A$2:$A$169,'Industry materiality'!$A$2:$A$169,'Industry materiality'!$C$2:$C$169,'Industry materiality'!$C$2:$C$169))</f>
        <v>8</v>
      </c>
      <c r="F26" s="21" t="str">
        <f t="shared" si="0"/>
        <v>Critical Incident Risk Management</v>
      </c>
    </row>
    <row r="27" spans="1:6" x14ac:dyDescent="0.25">
      <c r="A27" s="9" t="s">
        <v>555</v>
      </c>
      <c r="B27" s="10" t="s">
        <v>441</v>
      </c>
      <c r="C27" s="9" t="s">
        <v>560</v>
      </c>
      <c r="D27" s="11">
        <f>COUNTIF('Term mapping'!$E$2:$E$68,B27)+COUNTIF('Term mapping'!$F$2:$F$68,B27)</f>
        <v>0</v>
      </c>
      <c r="E27" s="11">
        <f>SUMPRODUCT(('Industry materiality'!$C$2:$C$169=B27)/COUNTIFS('Industry materiality'!$A$2:$A$169,'Industry materiality'!$A$2:$A$169,'Industry materiality'!$C$2:$C$169,'Industry materiality'!$C$2:$C$169))</f>
        <v>3</v>
      </c>
      <c r="F27" s="21" t="str">
        <f t="shared" si="0"/>
        <v>Systemic Risk Management</v>
      </c>
    </row>
    <row r="28" spans="1:6" x14ac:dyDescent="0.25">
      <c r="F28" s="21" t="s">
        <v>330</v>
      </c>
    </row>
    <row r="30" spans="1:6" x14ac:dyDescent="0.25">
      <c r="B30" s="22" t="s">
        <v>561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8"/>
  <sheetViews>
    <sheetView zoomScaleNormal="100" workbookViewId="0">
      <pane xSplit="1" ySplit="1" topLeftCell="B2" activePane="bottomRight" state="frozen"/>
      <selection pane="topRight" activeCell="B1" sqref="B1"/>
      <selection pane="bottomLeft" activeCell="A2" sqref="A2"/>
      <selection pane="bottomRight" activeCell="C2" sqref="C2:C78"/>
    </sheetView>
  </sheetViews>
  <sheetFormatPr defaultColWidth="8.7109375" defaultRowHeight="15" x14ac:dyDescent="0.25"/>
  <cols>
    <col min="1" max="1" width="40" customWidth="1"/>
    <col min="2" max="2" width="62" customWidth="1"/>
    <col min="3" max="3" width="14" customWidth="1"/>
  </cols>
  <sheetData>
    <row r="1" spans="1:3" ht="31.5" customHeight="1" x14ac:dyDescent="0.25">
      <c r="A1" s="7" t="s">
        <v>70</v>
      </c>
      <c r="B1" s="7" t="s">
        <v>71</v>
      </c>
      <c r="C1" s="7" t="s">
        <v>436</v>
      </c>
    </row>
    <row r="2" spans="1:3" x14ac:dyDescent="0.25">
      <c r="A2" s="9" t="s">
        <v>562</v>
      </c>
      <c r="B2" s="10" t="s">
        <v>563</v>
      </c>
      <c r="C2" s="11">
        <f>COUNTIF('Company industries'!$H$2:$H$66,B2)</f>
        <v>0</v>
      </c>
    </row>
    <row r="3" spans="1:3" x14ac:dyDescent="0.25">
      <c r="A3" s="9" t="s">
        <v>562</v>
      </c>
      <c r="B3" s="10" t="s">
        <v>564</v>
      </c>
      <c r="C3" s="11">
        <f>COUNTIF('Company industries'!$H$2:$H$66,B3)</f>
        <v>0</v>
      </c>
    </row>
    <row r="4" spans="1:3" x14ac:dyDescent="0.25">
      <c r="A4" s="9" t="s">
        <v>562</v>
      </c>
      <c r="B4" s="10" t="s">
        <v>565</v>
      </c>
      <c r="C4" s="11">
        <f>COUNTIF('Company industries'!$H$2:$H$66,B4)</f>
        <v>0</v>
      </c>
    </row>
    <row r="5" spans="1:3" x14ac:dyDescent="0.25">
      <c r="A5" s="9" t="s">
        <v>562</v>
      </c>
      <c r="B5" s="10" t="s">
        <v>566</v>
      </c>
      <c r="C5" s="11">
        <f>COUNTIF('Company industries'!$H$2:$H$66,B5)</f>
        <v>0</v>
      </c>
    </row>
    <row r="6" spans="1:3" x14ac:dyDescent="0.25">
      <c r="A6" s="9" t="s">
        <v>562</v>
      </c>
      <c r="B6" s="10" t="s">
        <v>567</v>
      </c>
      <c r="C6" s="11">
        <f>COUNTIF('Company industries'!$H$2:$H$66,B6)</f>
        <v>0</v>
      </c>
    </row>
    <row r="7" spans="1:3" x14ac:dyDescent="0.25">
      <c r="A7" s="9" t="s">
        <v>562</v>
      </c>
      <c r="B7" s="10" t="s">
        <v>175</v>
      </c>
      <c r="C7" s="11">
        <f>COUNTIF('Company industries'!$H$2:$H$66,B7)</f>
        <v>1</v>
      </c>
    </row>
    <row r="8" spans="1:3" x14ac:dyDescent="0.25">
      <c r="A8" s="9" t="s">
        <v>562</v>
      </c>
      <c r="B8" s="10" t="s">
        <v>568</v>
      </c>
      <c r="C8" s="11">
        <f>COUNTIF('Company industries'!$H$2:$H$66,B8)</f>
        <v>0</v>
      </c>
    </row>
    <row r="9" spans="1:3" x14ac:dyDescent="0.25">
      <c r="A9" s="9" t="s">
        <v>569</v>
      </c>
      <c r="B9" s="10" t="s">
        <v>570</v>
      </c>
      <c r="C9" s="11">
        <f>COUNTIF('Company industries'!$H$2:$H$66,B9)</f>
        <v>0</v>
      </c>
    </row>
    <row r="10" spans="1:3" x14ac:dyDescent="0.25">
      <c r="A10" s="9" t="s">
        <v>569</v>
      </c>
      <c r="B10" s="10" t="s">
        <v>114</v>
      </c>
      <c r="C10" s="11">
        <f>COUNTIF('Company industries'!$H$2:$H$66,B10)</f>
        <v>2</v>
      </c>
    </row>
    <row r="11" spans="1:3" x14ac:dyDescent="0.25">
      <c r="A11" s="9" t="s">
        <v>569</v>
      </c>
      <c r="B11" s="10" t="s">
        <v>293</v>
      </c>
      <c r="C11" s="11">
        <f>COUNTIF('Company industries'!$H$2:$H$66,B11)</f>
        <v>1</v>
      </c>
    </row>
    <row r="12" spans="1:3" x14ac:dyDescent="0.25">
      <c r="A12" s="9" t="s">
        <v>569</v>
      </c>
      <c r="B12" s="10" t="s">
        <v>106</v>
      </c>
      <c r="C12" s="11">
        <f>COUNTIF('Company industries'!$H$2:$H$66,B12)</f>
        <v>2</v>
      </c>
    </row>
    <row r="13" spans="1:3" x14ac:dyDescent="0.25">
      <c r="A13" s="9" t="s">
        <v>569</v>
      </c>
      <c r="B13" s="10" t="s">
        <v>82</v>
      </c>
      <c r="C13" s="11">
        <f>COUNTIF('Company industries'!$H$2:$H$66,B13)</f>
        <v>1</v>
      </c>
    </row>
    <row r="14" spans="1:3" x14ac:dyDescent="0.25">
      <c r="A14" s="9" t="s">
        <v>569</v>
      </c>
      <c r="B14" s="10" t="s">
        <v>571</v>
      </c>
      <c r="C14" s="11">
        <f>COUNTIF('Company industries'!$H$2:$H$66,B14)</f>
        <v>0</v>
      </c>
    </row>
    <row r="15" spans="1:3" x14ac:dyDescent="0.25">
      <c r="A15" s="9" t="s">
        <v>569</v>
      </c>
      <c r="B15" s="10" t="s">
        <v>165</v>
      </c>
      <c r="C15" s="11">
        <f>COUNTIF('Company industries'!$H$2:$H$66,B15)</f>
        <v>3</v>
      </c>
    </row>
    <row r="16" spans="1:3" x14ac:dyDescent="0.25">
      <c r="A16" s="9" t="s">
        <v>569</v>
      </c>
      <c r="B16" s="10" t="s">
        <v>241</v>
      </c>
      <c r="C16" s="11">
        <f>COUNTIF('Company industries'!$H$2:$H$66,B16)</f>
        <v>1</v>
      </c>
    </row>
    <row r="17" spans="1:3" x14ac:dyDescent="0.25">
      <c r="A17" s="9" t="s">
        <v>572</v>
      </c>
      <c r="B17" s="10" t="s">
        <v>270</v>
      </c>
      <c r="C17" s="11">
        <f>COUNTIF('Company industries'!$H$2:$H$66,B17)</f>
        <v>1</v>
      </c>
    </row>
    <row r="18" spans="1:3" x14ac:dyDescent="0.25">
      <c r="A18" s="9" t="s">
        <v>572</v>
      </c>
      <c r="B18" s="10" t="s">
        <v>90</v>
      </c>
      <c r="C18" s="11">
        <f>COUNTIF('Company industries'!$H$2:$H$66,B18)</f>
        <v>18</v>
      </c>
    </row>
    <row r="19" spans="1:3" x14ac:dyDescent="0.25">
      <c r="A19" s="9" t="s">
        <v>572</v>
      </c>
      <c r="B19" s="10" t="s">
        <v>573</v>
      </c>
      <c r="C19" s="11">
        <f>COUNTIF('Company industries'!$H$2:$H$66,B19)</f>
        <v>0</v>
      </c>
    </row>
    <row r="20" spans="1:3" x14ac:dyDescent="0.25">
      <c r="A20" s="9" t="s">
        <v>572</v>
      </c>
      <c r="B20" s="10" t="s">
        <v>574</v>
      </c>
      <c r="C20" s="11">
        <f>COUNTIF('Company industries'!$H$2:$H$66,B20)</f>
        <v>0</v>
      </c>
    </row>
    <row r="21" spans="1:3" x14ac:dyDescent="0.25">
      <c r="A21" s="9" t="s">
        <v>572</v>
      </c>
      <c r="B21" s="10" t="s">
        <v>575</v>
      </c>
      <c r="C21" s="11">
        <f>COUNTIF('Company industries'!$H$2:$H$66,B21)</f>
        <v>0</v>
      </c>
    </row>
    <row r="22" spans="1:3" x14ac:dyDescent="0.25">
      <c r="A22" s="9" t="s">
        <v>572</v>
      </c>
      <c r="B22" s="10" t="s">
        <v>576</v>
      </c>
      <c r="C22" s="11">
        <f>COUNTIF('Company industries'!$H$2:$H$66,B22)</f>
        <v>0</v>
      </c>
    </row>
    <row r="23" spans="1:3" x14ac:dyDescent="0.25">
      <c r="A23" s="9" t="s">
        <v>572</v>
      </c>
      <c r="B23" s="10" t="s">
        <v>577</v>
      </c>
      <c r="C23" s="11">
        <f>COUNTIF('Company industries'!$H$2:$H$66,B23)</f>
        <v>0</v>
      </c>
    </row>
    <row r="24" spans="1:3" x14ac:dyDescent="0.25">
      <c r="A24" s="9" t="s">
        <v>578</v>
      </c>
      <c r="B24" s="10" t="s">
        <v>579</v>
      </c>
      <c r="C24" s="11">
        <f>COUNTIF('Company industries'!$H$2:$H$66,B24)</f>
        <v>0</v>
      </c>
    </row>
    <row r="25" spans="1:3" x14ac:dyDescent="0.25">
      <c r="A25" s="9" t="s">
        <v>578</v>
      </c>
      <c r="B25" s="10" t="s">
        <v>580</v>
      </c>
      <c r="C25" s="11">
        <f>COUNTIF('Company industries'!$H$2:$H$66,B25)</f>
        <v>0</v>
      </c>
    </row>
    <row r="26" spans="1:3" x14ac:dyDescent="0.25">
      <c r="A26" s="9" t="s">
        <v>578</v>
      </c>
      <c r="B26" s="10" t="s">
        <v>181</v>
      </c>
      <c r="C26" s="11">
        <f>COUNTIF('Company industries'!$H$2:$H$66,B26)</f>
        <v>1</v>
      </c>
    </row>
    <row r="27" spans="1:3" x14ac:dyDescent="0.25">
      <c r="A27" s="9" t="s">
        <v>578</v>
      </c>
      <c r="B27" s="10" t="s">
        <v>123</v>
      </c>
      <c r="C27" s="11">
        <f>COUNTIF('Company industries'!$H$2:$H$66,B27)</f>
        <v>2</v>
      </c>
    </row>
    <row r="28" spans="1:3" x14ac:dyDescent="0.25">
      <c r="A28" s="9" t="s">
        <v>578</v>
      </c>
      <c r="B28" s="10" t="s">
        <v>581</v>
      </c>
      <c r="C28" s="11">
        <f>COUNTIF('Company industries'!$H$2:$H$66,B28)</f>
        <v>0</v>
      </c>
    </row>
    <row r="29" spans="1:3" x14ac:dyDescent="0.25">
      <c r="A29" s="9" t="s">
        <v>578</v>
      </c>
      <c r="B29" s="10" t="s">
        <v>133</v>
      </c>
      <c r="C29" s="11">
        <f>COUNTIF('Company industries'!$H$2:$H$66,B29)</f>
        <v>1</v>
      </c>
    </row>
    <row r="30" spans="1:3" x14ac:dyDescent="0.25">
      <c r="A30" s="9" t="s">
        <v>578</v>
      </c>
      <c r="B30" s="10" t="s">
        <v>156</v>
      </c>
      <c r="C30" s="11">
        <f>COUNTIF('Company industries'!$H$2:$H$66,B30)</f>
        <v>1</v>
      </c>
    </row>
    <row r="31" spans="1:3" x14ac:dyDescent="0.25">
      <c r="A31" s="9" t="s">
        <v>578</v>
      </c>
      <c r="B31" s="10" t="s">
        <v>582</v>
      </c>
      <c r="C31" s="11">
        <f>COUNTIF('Company industries'!$H$2:$H$66,B31)</f>
        <v>0</v>
      </c>
    </row>
    <row r="32" spans="1:3" x14ac:dyDescent="0.25">
      <c r="A32" s="9" t="s">
        <v>583</v>
      </c>
      <c r="B32" s="10" t="s">
        <v>584</v>
      </c>
      <c r="C32" s="11">
        <f>COUNTIF('Company industries'!$H$2:$H$66,B32)</f>
        <v>0</v>
      </c>
    </row>
    <row r="33" spans="1:3" x14ac:dyDescent="0.25">
      <c r="A33" s="9" t="s">
        <v>583</v>
      </c>
      <c r="B33" s="10" t="s">
        <v>585</v>
      </c>
      <c r="C33" s="11">
        <f>COUNTIF('Company industries'!$H$2:$H$66,B33)</f>
        <v>0</v>
      </c>
    </row>
    <row r="34" spans="1:3" x14ac:dyDescent="0.25">
      <c r="A34" s="9" t="s">
        <v>583</v>
      </c>
      <c r="B34" s="10" t="s">
        <v>151</v>
      </c>
      <c r="C34" s="11">
        <f>COUNTIF('Company industries'!$H$2:$H$66,B34)</f>
        <v>1</v>
      </c>
    </row>
    <row r="35" spans="1:3" x14ac:dyDescent="0.25">
      <c r="A35" s="9" t="s">
        <v>583</v>
      </c>
      <c r="B35" s="10" t="s">
        <v>586</v>
      </c>
      <c r="C35" s="11">
        <f>COUNTIF('Company industries'!$H$2:$H$66,B35)</f>
        <v>0</v>
      </c>
    </row>
    <row r="36" spans="1:3" x14ac:dyDescent="0.25">
      <c r="A36" s="9" t="s">
        <v>583</v>
      </c>
      <c r="B36" s="10" t="s">
        <v>587</v>
      </c>
      <c r="C36" s="11">
        <f>COUNTIF('Company industries'!$H$2:$H$66,B36)</f>
        <v>0</v>
      </c>
    </row>
    <row r="37" spans="1:3" x14ac:dyDescent="0.25">
      <c r="A37" s="9" t="s">
        <v>583</v>
      </c>
      <c r="B37" s="10" t="s">
        <v>588</v>
      </c>
      <c r="C37" s="11">
        <f>COUNTIF('Company industries'!$H$2:$H$66,B37)</f>
        <v>0</v>
      </c>
    </row>
    <row r="38" spans="1:3" x14ac:dyDescent="0.25">
      <c r="A38" s="9" t="s">
        <v>589</v>
      </c>
      <c r="B38" s="10" t="s">
        <v>198</v>
      </c>
      <c r="C38" s="11">
        <f>COUNTIF('Company industries'!$H$2:$H$66,B38)</f>
        <v>1</v>
      </c>
    </row>
    <row r="39" spans="1:3" x14ac:dyDescent="0.25">
      <c r="A39" s="9" t="s">
        <v>589</v>
      </c>
      <c r="B39" s="10" t="s">
        <v>590</v>
      </c>
      <c r="C39" s="11">
        <f>COUNTIF('Company industries'!$H$2:$H$66,B39)</f>
        <v>0</v>
      </c>
    </row>
    <row r="40" spans="1:3" x14ac:dyDescent="0.25">
      <c r="A40" s="9" t="s">
        <v>589</v>
      </c>
      <c r="B40" s="10" t="s">
        <v>591</v>
      </c>
      <c r="C40" s="11">
        <f>COUNTIF('Company industries'!$H$2:$H$66,B40)</f>
        <v>0</v>
      </c>
    </row>
    <row r="41" spans="1:3" x14ac:dyDescent="0.25">
      <c r="A41" s="9" t="s">
        <v>589</v>
      </c>
      <c r="B41" s="10" t="s">
        <v>142</v>
      </c>
      <c r="C41" s="11">
        <f>COUNTIF('Company industries'!$H$2:$H$66,B41)</f>
        <v>2</v>
      </c>
    </row>
    <row r="42" spans="1:3" x14ac:dyDescent="0.25">
      <c r="A42" s="9" t="s">
        <v>589</v>
      </c>
      <c r="B42" s="10" t="s">
        <v>141</v>
      </c>
      <c r="C42" s="11">
        <f>COUNTIF('Company industries'!$H$2:$H$66,B42)</f>
        <v>5</v>
      </c>
    </row>
    <row r="43" spans="1:3" x14ac:dyDescent="0.25">
      <c r="A43" s="9" t="s">
        <v>589</v>
      </c>
      <c r="B43" s="10" t="s">
        <v>592</v>
      </c>
      <c r="C43" s="11">
        <f>COUNTIF('Company industries'!$H$2:$H$66,B43)</f>
        <v>0</v>
      </c>
    </row>
    <row r="44" spans="1:3" x14ac:dyDescent="0.25">
      <c r="A44" s="9" t="s">
        <v>589</v>
      </c>
      <c r="B44" s="10" t="s">
        <v>476</v>
      </c>
      <c r="C44" s="11">
        <f>COUNTIF('Company industries'!$H$2:$H$66,B44)</f>
        <v>0</v>
      </c>
    </row>
    <row r="45" spans="1:3" x14ac:dyDescent="0.25">
      <c r="A45" s="9" t="s">
        <v>589</v>
      </c>
      <c r="B45" s="10" t="s">
        <v>593</v>
      </c>
      <c r="C45" s="11">
        <f>COUNTIF('Company industries'!$H$2:$H$66,B45)</f>
        <v>0</v>
      </c>
    </row>
    <row r="46" spans="1:3" x14ac:dyDescent="0.25">
      <c r="A46" s="9" t="s">
        <v>594</v>
      </c>
      <c r="B46" s="10" t="s">
        <v>595</v>
      </c>
      <c r="C46" s="11">
        <f>COUNTIF('Company industries'!$H$2:$H$66,B46)</f>
        <v>0</v>
      </c>
    </row>
    <row r="47" spans="1:3" x14ac:dyDescent="0.25">
      <c r="A47" s="9" t="s">
        <v>594</v>
      </c>
      <c r="B47" s="10" t="s">
        <v>596</v>
      </c>
      <c r="C47" s="11">
        <f>COUNTIF('Company industries'!$H$2:$H$66,B47)</f>
        <v>0</v>
      </c>
    </row>
    <row r="48" spans="1:3" x14ac:dyDescent="0.25">
      <c r="A48" s="9" t="s">
        <v>594</v>
      </c>
      <c r="B48" s="10" t="s">
        <v>597</v>
      </c>
      <c r="C48" s="11">
        <f>COUNTIF('Company industries'!$H$2:$H$66,B48)</f>
        <v>0</v>
      </c>
    </row>
    <row r="49" spans="1:3" x14ac:dyDescent="0.25">
      <c r="A49" s="9" t="s">
        <v>594</v>
      </c>
      <c r="B49" s="10" t="s">
        <v>598</v>
      </c>
      <c r="C49" s="11">
        <f>COUNTIF('Company industries'!$H$2:$H$66,B49)</f>
        <v>0</v>
      </c>
    </row>
    <row r="50" spans="1:3" x14ac:dyDescent="0.25">
      <c r="A50" s="9" t="s">
        <v>594</v>
      </c>
      <c r="B50" s="10" t="s">
        <v>599</v>
      </c>
      <c r="C50" s="11">
        <f>COUNTIF('Company industries'!$H$2:$H$66,B50)</f>
        <v>0</v>
      </c>
    </row>
    <row r="51" spans="1:3" x14ac:dyDescent="0.25">
      <c r="A51" s="9" t="s">
        <v>594</v>
      </c>
      <c r="B51" s="10" t="s">
        <v>600</v>
      </c>
      <c r="C51" s="11">
        <f>COUNTIF('Company industries'!$H$2:$H$66,B51)</f>
        <v>0</v>
      </c>
    </row>
    <row r="52" spans="1:3" x14ac:dyDescent="0.25">
      <c r="A52" s="9" t="s">
        <v>601</v>
      </c>
      <c r="B52" s="10" t="s">
        <v>602</v>
      </c>
      <c r="C52" s="11">
        <f>COUNTIF('Company industries'!$H$2:$H$66,B52)</f>
        <v>0</v>
      </c>
    </row>
    <row r="53" spans="1:3" x14ac:dyDescent="0.25">
      <c r="A53" s="9" t="s">
        <v>601</v>
      </c>
      <c r="B53" s="10" t="s">
        <v>97</v>
      </c>
      <c r="C53" s="11">
        <f>COUNTIF('Company industries'!$H$2:$H$66,B53)</f>
        <v>8</v>
      </c>
    </row>
    <row r="54" spans="1:3" x14ac:dyDescent="0.25">
      <c r="A54" s="9" t="s">
        <v>601</v>
      </c>
      <c r="B54" s="10" t="s">
        <v>603</v>
      </c>
      <c r="C54" s="11">
        <f>COUNTIF('Company industries'!$H$2:$H$66,B54)</f>
        <v>0</v>
      </c>
    </row>
    <row r="55" spans="1:3" x14ac:dyDescent="0.25">
      <c r="A55" s="9" t="s">
        <v>601</v>
      </c>
      <c r="B55" s="10" t="s">
        <v>604</v>
      </c>
      <c r="C55" s="11">
        <f>COUNTIF('Company industries'!$H$2:$H$66,B55)</f>
        <v>0</v>
      </c>
    </row>
    <row r="56" spans="1:3" x14ac:dyDescent="0.25">
      <c r="A56" s="9" t="s">
        <v>601</v>
      </c>
      <c r="B56" s="10" t="s">
        <v>605</v>
      </c>
      <c r="C56" s="11">
        <f>COUNTIF('Company industries'!$H$2:$H$66,B56)</f>
        <v>0</v>
      </c>
    </row>
    <row r="57" spans="1:3" x14ac:dyDescent="0.25">
      <c r="A57" s="9" t="s">
        <v>606</v>
      </c>
      <c r="B57" s="10" t="s">
        <v>607</v>
      </c>
      <c r="C57" s="11">
        <f>COUNTIF('Company industries'!$H$2:$H$66,B57)</f>
        <v>0</v>
      </c>
    </row>
    <row r="58" spans="1:3" x14ac:dyDescent="0.25">
      <c r="A58" s="9" t="s">
        <v>606</v>
      </c>
      <c r="B58" s="10" t="s">
        <v>608</v>
      </c>
      <c r="C58" s="11">
        <f>COUNTIF('Company industries'!$H$2:$H$66,B58)</f>
        <v>0</v>
      </c>
    </row>
    <row r="59" spans="1:3" x14ac:dyDescent="0.25">
      <c r="A59" s="9" t="s">
        <v>606</v>
      </c>
      <c r="B59" s="10" t="s">
        <v>609</v>
      </c>
      <c r="C59" s="11">
        <f>COUNTIF('Company industries'!$H$2:$H$66,B59)</f>
        <v>0</v>
      </c>
    </row>
    <row r="60" spans="1:3" x14ac:dyDescent="0.25">
      <c r="A60" s="9" t="s">
        <v>606</v>
      </c>
      <c r="B60" s="10" t="s">
        <v>289</v>
      </c>
      <c r="C60" s="11">
        <f>COUNTIF('Company industries'!$H$2:$H$66,B60)</f>
        <v>1</v>
      </c>
    </row>
    <row r="61" spans="1:3" x14ac:dyDescent="0.25">
      <c r="A61" s="9" t="s">
        <v>606</v>
      </c>
      <c r="B61" s="10" t="s">
        <v>610</v>
      </c>
      <c r="C61" s="11">
        <f>COUNTIF('Company industries'!$H$2:$H$66,B61)</f>
        <v>0</v>
      </c>
    </row>
    <row r="62" spans="1:3" x14ac:dyDescent="0.25">
      <c r="A62" s="9" t="s">
        <v>606</v>
      </c>
      <c r="B62" s="10" t="s">
        <v>611</v>
      </c>
      <c r="C62" s="11">
        <f>COUNTIF('Company industries'!$H$2:$H$66,B62)</f>
        <v>0</v>
      </c>
    </row>
    <row r="63" spans="1:3" x14ac:dyDescent="0.25">
      <c r="A63" s="9" t="s">
        <v>606</v>
      </c>
      <c r="B63" s="10" t="s">
        <v>612</v>
      </c>
      <c r="C63" s="11">
        <f>COUNTIF('Company industries'!$H$2:$H$66,B63)</f>
        <v>0</v>
      </c>
    </row>
    <row r="64" spans="1:3" ht="25.5" x14ac:dyDescent="0.25">
      <c r="A64" s="9" t="s">
        <v>613</v>
      </c>
      <c r="B64" s="10" t="s">
        <v>614</v>
      </c>
      <c r="C64" s="11">
        <f>COUNTIF('Company industries'!$H$2:$H$66,B64)</f>
        <v>0</v>
      </c>
    </row>
    <row r="65" spans="1:3" x14ac:dyDescent="0.25">
      <c r="A65" s="9" t="s">
        <v>613</v>
      </c>
      <c r="B65" s="10" t="s">
        <v>615</v>
      </c>
      <c r="C65" s="11">
        <f>COUNTIF('Company industries'!$H$2:$H$66,B65)</f>
        <v>0</v>
      </c>
    </row>
    <row r="66" spans="1:3" x14ac:dyDescent="0.25">
      <c r="A66" s="9" t="s">
        <v>613</v>
      </c>
      <c r="B66" s="10" t="s">
        <v>616</v>
      </c>
      <c r="C66" s="11">
        <f>COUNTIF('Company industries'!$H$2:$H$66,B66)</f>
        <v>0</v>
      </c>
    </row>
    <row r="67" spans="1:3" x14ac:dyDescent="0.25">
      <c r="A67" s="9" t="s">
        <v>613</v>
      </c>
      <c r="B67" s="10" t="s">
        <v>617</v>
      </c>
      <c r="C67" s="11">
        <f>COUNTIF('Company industries'!$H$2:$H$66,B67)</f>
        <v>0</v>
      </c>
    </row>
    <row r="68" spans="1:3" x14ac:dyDescent="0.25">
      <c r="A68" s="9" t="s">
        <v>613</v>
      </c>
      <c r="B68" s="10" t="s">
        <v>618</v>
      </c>
      <c r="C68" s="11">
        <f>COUNTIF('Company industries'!$H$2:$H$66,B68)</f>
        <v>0</v>
      </c>
    </row>
    <row r="69" spans="1:3" x14ac:dyDescent="0.25">
      <c r="A69" s="9" t="s">
        <v>613</v>
      </c>
      <c r="B69" s="10" t="s">
        <v>102</v>
      </c>
      <c r="C69" s="11">
        <f>COUNTIF('Company industries'!$H$2:$H$66,B69)</f>
        <v>9</v>
      </c>
    </row>
    <row r="70" spans="1:3" x14ac:dyDescent="0.25">
      <c r="A70" s="9" t="s">
        <v>619</v>
      </c>
      <c r="B70" s="10" t="s">
        <v>620</v>
      </c>
      <c r="C70" s="11">
        <f>COUNTIF('Company industries'!$H$2:$H$66,B70)</f>
        <v>0</v>
      </c>
    </row>
    <row r="71" spans="1:3" x14ac:dyDescent="0.25">
      <c r="A71" s="9" t="s">
        <v>619</v>
      </c>
      <c r="B71" s="10" t="s">
        <v>220</v>
      </c>
      <c r="C71" s="11">
        <f>COUNTIF('Company industries'!$H$2:$H$66,B71)</f>
        <v>2</v>
      </c>
    </row>
    <row r="72" spans="1:3" x14ac:dyDescent="0.25">
      <c r="A72" s="9" t="s">
        <v>619</v>
      </c>
      <c r="B72" s="10" t="s">
        <v>621</v>
      </c>
      <c r="C72" s="11">
        <f>COUNTIF('Company industries'!$H$2:$H$66,B72)</f>
        <v>0</v>
      </c>
    </row>
    <row r="73" spans="1:3" x14ac:dyDescent="0.25">
      <c r="A73" s="9" t="s">
        <v>619</v>
      </c>
      <c r="B73" s="10" t="s">
        <v>622</v>
      </c>
      <c r="C73" s="11">
        <f>COUNTIF('Company industries'!$H$2:$H$66,B73)</f>
        <v>0</v>
      </c>
    </row>
    <row r="74" spans="1:3" x14ac:dyDescent="0.25">
      <c r="A74" s="9" t="s">
        <v>619</v>
      </c>
      <c r="B74" s="10" t="s">
        <v>623</v>
      </c>
      <c r="C74" s="11">
        <f>COUNTIF('Company industries'!$H$2:$H$66,B74)</f>
        <v>0</v>
      </c>
    </row>
    <row r="75" spans="1:3" x14ac:dyDescent="0.25">
      <c r="A75" s="9" t="s">
        <v>619</v>
      </c>
      <c r="B75" s="10" t="s">
        <v>624</v>
      </c>
      <c r="C75" s="11">
        <f>COUNTIF('Company industries'!$H$2:$H$66,B75)</f>
        <v>0</v>
      </c>
    </row>
    <row r="76" spans="1:3" x14ac:dyDescent="0.25">
      <c r="A76" s="9" t="s">
        <v>619</v>
      </c>
      <c r="B76" s="10" t="s">
        <v>246</v>
      </c>
      <c r="C76" s="11">
        <f>COUNTIF('Company industries'!$H$2:$H$66,B76)</f>
        <v>1</v>
      </c>
    </row>
    <row r="77" spans="1:3" x14ac:dyDescent="0.25">
      <c r="A77" s="9" t="s">
        <v>619</v>
      </c>
      <c r="B77" s="10" t="s">
        <v>625</v>
      </c>
      <c r="C77" s="11">
        <f>COUNTIF('Company industries'!$H$2:$H$66,B77)</f>
        <v>0</v>
      </c>
    </row>
    <row r="78" spans="1:3" x14ac:dyDescent="0.25">
      <c r="A78" s="9" t="s">
        <v>619</v>
      </c>
      <c r="B78" s="10" t="s">
        <v>626</v>
      </c>
      <c r="C78" s="11">
        <f>COUNTIF('Company industries'!$H$2:$H$66,B78)</f>
        <v>0</v>
      </c>
    </row>
  </sheetData>
  <autoFilter ref="A1:C78" xr:uid="{00000000-0009-0000-0000-00000500000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Company industries</vt:lpstr>
      <vt:lpstr>Term mapping</vt:lpstr>
      <vt:lpstr>Industry materiality</vt:lpstr>
      <vt:lpstr>SASB categories</vt:lpstr>
      <vt:lpstr>SASB industries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ana.muhandis@protonmail.com</cp:lastModifiedBy>
  <cp:revision>0</cp:revision>
  <dcterms:created xsi:type="dcterms:W3CDTF">2026-10-06T13:27:33Z</dcterms:created>
  <dcterms:modified xsi:type="dcterms:W3CDTF">2026-10-06T16:25:45Z</dcterms:modified>
  <dc:language>en-US</dc:language>
</cp:coreProperties>
</file>