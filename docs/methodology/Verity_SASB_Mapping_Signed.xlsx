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500" firstSheet="0" activeTab="0" autoFilterDateGrouping="1"/>
  </bookViews>
  <sheets>
    <sheet name="Read me" sheetId="1" state="visible" r:id="rId1"/>
    <sheet name="Company industries" sheetId="2" state="visible" r:id="rId2"/>
    <sheet name="Term mapping" sheetId="3" state="visible" r:id="rId3"/>
    <sheet name="Industry materiality" sheetId="4" state="visible" r:id="rId4"/>
    <sheet name="SASB categories" sheetId="5" state="visible" r:id="rId5"/>
    <sheet name="SASB industries" sheetId="6" state="visible" r:id="rId6"/>
  </sheets>
  <definedNames>
    <definedName name="_xlnm._FilterDatabase" localSheetId="1" hidden="1">'Company industries'!$A$1:$P$66</definedName>
    <definedName name="_xlnm._FilterDatabase" localSheetId="2" hidden="1">'Term mapping'!$A$1:$L$68</definedName>
    <definedName name="_xlnm._FilterDatabase" localSheetId="3" hidden="1">'Industry materiality'!$A$1:$G$169</definedName>
    <definedName name="_xlnm._FilterDatabase" localSheetId="5" hidden="1">'SASB industries'!$A$1:$C$78</definedName>
  </definedNames>
  <calcPr calcId="191029"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charset val="1"/>
      <b val="1"/>
      <color rgb="FF15232B"/>
      <sz val="16"/>
    </font>
    <font>
      <name val="Arial"/>
      <charset val="1"/>
      <b val="1"/>
      <color rgb="FF8A5513"/>
      <sz val="10"/>
    </font>
    <font>
      <name val="Arial"/>
      <charset val="1"/>
      <b val="1"/>
      <color rgb="FF15232B"/>
      <sz val="12"/>
    </font>
    <font>
      <name val="Arial"/>
      <charset val="1"/>
      <b val="1"/>
      <sz val="10"/>
    </font>
    <font>
      <name val="Arial"/>
      <charset val="1"/>
      <sz val="10"/>
    </font>
    <font>
      <name val="Arial"/>
      <charset val="1"/>
      <b val="1"/>
      <color rgb="FFFFFFFF"/>
      <sz val="10"/>
    </font>
    <font>
      <name val="Arial"/>
      <charset val="1"/>
      <b val="1"/>
      <color rgb="FFB3261E"/>
      <sz val="10"/>
    </font>
    <font>
      <name val="Arial"/>
      <charset val="1"/>
      <color rgb="FF888888"/>
      <sz val="9"/>
    </font>
    <font>
      <name val="Arial"/>
      <charset val="1"/>
      <i val="1"/>
      <color rgb="FF5B6770"/>
      <sz val="9"/>
    </font>
  </fonts>
  <fills count="8">
    <fill>
      <patternFill/>
    </fill>
    <fill>
      <patternFill patternType="gray125"/>
    </fill>
    <fill>
      <patternFill patternType="solid">
        <fgColor rgb="FF15232B"/>
        <bgColor rgb="FF003300"/>
      </patternFill>
    </fill>
    <fill>
      <patternFill patternType="solid">
        <fgColor rgb="FF8A5513"/>
        <bgColor rgb="FF993366"/>
      </patternFill>
    </fill>
    <fill>
      <patternFill patternType="solid">
        <fgColor rgb="FFFFF2CC"/>
        <bgColor rgb="FFFBE3D6"/>
      </patternFill>
    </fill>
    <fill>
      <patternFill patternType="solid">
        <fgColor rgb="FFFBE3D6"/>
        <bgColor rgb="FFFFF2CC"/>
      </patternFill>
    </fill>
    <fill>
      <patternFill patternType="solid">
        <fgColor rgb="FFE2EEEA"/>
        <bgColor rgb="FFEEEEEE"/>
      </patternFill>
    </fill>
    <fill>
      <patternFill patternType="solid">
        <fgColor rgb="FFEEEEEE"/>
        <bgColor rgb="FFE2EEEA"/>
      </patternFill>
    </fill>
  </fills>
  <borders count="2">
    <border>
      <left/>
      <right/>
      <top/>
      <bottom/>
      <diagonal/>
    </border>
    <border>
      <left style="thin">
        <color rgb="FFD9D1C1"/>
      </left>
      <right style="thin">
        <color rgb="FFD9D1C1"/>
      </right>
      <top style="thin">
        <color rgb="FFD9D1C1"/>
      </top>
      <bottom style="thin">
        <color rgb="FFD9D1C1"/>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horizontal="left"/>
    </xf>
    <xf numFmtId="0" fontId="6" fillId="2" borderId="1" applyAlignment="1" pivotButton="0" quotePrefix="0" xfId="0">
      <alignment vertical="center" wrapText="1"/>
    </xf>
    <xf numFmtId="0" fontId="6" fillId="3"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horizontal="center" vertical="top"/>
    </xf>
    <xf numFmtId="0" fontId="5" fillId="4" borderId="1" applyAlignment="1" pivotButton="0" quotePrefix="0" xfId="0">
      <alignment vertical="top" wrapText="1"/>
    </xf>
    <xf numFmtId="0" fontId="7" fillId="0" borderId="1" applyAlignment="1" pivotButton="0" quotePrefix="0" xfId="0">
      <alignment horizontal="center" vertical="top"/>
    </xf>
    <xf numFmtId="0" fontId="5"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7" fillId="6"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5513"/>
      <rgbColor rgb="FF800080"/>
      <rgbColor rgb="FF008080"/>
      <rgbColor rgb="FFD9D1C1"/>
      <rgbColor rgb="FF888888"/>
      <rgbColor rgb="FF9999FF"/>
      <rgbColor rgb="FF993366"/>
      <rgbColor rgb="FFFFF2CC"/>
      <rgbColor rgb="FFE2EE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EEEE"/>
      <rgbColor rgb="FFCCFFCC"/>
      <rgbColor rgb="FFFFFF99"/>
      <rgbColor rgb="FF99CCFF"/>
      <rgbColor rgb="FFFF99CC"/>
      <rgbColor rgb="FFCC99FF"/>
      <rgbColor rgb="FFFBE3D6"/>
      <rgbColor rgb="FF3366FF"/>
      <rgbColor rgb="FF33CCCC"/>
      <rgbColor rgb="FF99CC00"/>
      <rgbColor rgb="FFFFCC00"/>
      <rgbColor rgb="FFFF9900"/>
      <rgbColor rgb="FFFF6600"/>
      <rgbColor rgb="FF5B6770"/>
      <rgbColor rgb="FF969696"/>
      <rgbColor rgb="FF003366"/>
      <rgbColor rgb="FF339966"/>
      <rgbColor rgb="FF003300"/>
      <rgbColor rgb="FF333300"/>
      <rgbColor rgb="FFB3261E"/>
      <rgbColor rgb="FF993366"/>
      <rgbColor rgb="FF333399"/>
      <rgbColor rgb="FF15232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9"/>
  <sheetViews>
    <sheetView showGridLines="0" tabSelected="1" zoomScaleNormal="100" workbookViewId="0">
      <selection activeCell="A1" sqref="A1"/>
    </sheetView>
  </sheetViews>
  <sheetFormatPr baseColWidth="8" defaultColWidth="8.7109375" defaultRowHeight="15"/>
  <cols>
    <col width="4" customWidth="1" min="1" max="1"/>
    <col width="48" customWidth="1" min="2" max="2"/>
    <col width="74" customWidth="1" min="3" max="3"/>
  </cols>
  <sheetData>
    <row r="2" ht="20.25" customHeight="1">
      <c r="B2" s="1" t="inlineStr">
        <is>
          <t>Verity: SASB mapping for materiality weights</t>
        </is>
      </c>
    </row>
    <row r="3">
      <c r="B3" s="2" t="inlineStr">
        <is>
          <t>DRAFT FOR REVIEW: for the researcher to check and the supervisor to approve</t>
        </is>
      </c>
    </row>
    <row r="5" ht="15.75" customHeight="1">
      <c r="B5" s="3" t="inlineStr">
        <is>
          <t>How the weights will work</t>
        </is>
      </c>
    </row>
    <row r="6" ht="25.5" customHeight="1">
      <c r="B6" s="4" t="inlineStr">
        <is>
          <t>Rule</t>
        </is>
      </c>
      <c r="C6" s="5" t="inlineStr">
        <is>
          <t>A term counts more when its SASB category is material for the company's SASB industry. Otherwise it counts at the standard weight of 1.</t>
        </is>
      </c>
    </row>
    <row r="7" ht="25.5" customHeight="1">
      <c r="B7" s="4" t="inlineStr">
        <is>
          <t>Example</t>
        </is>
      </c>
      <c r="C7" s="5" t="inlineStr">
        <is>
          <t>'health and safety' counts 1.5 for a cement company (workforce safety is material in that industry) and 1.0 for a bank (it is not).</t>
        </is>
      </c>
    </row>
    <row r="8" ht="25.5" customHeight="1">
      <c r="B8" s="4" t="inlineStr">
        <is>
          <t>Weight values</t>
        </is>
      </c>
      <c r="C8" s="5" t="inlineStr">
        <is>
          <t>1.5 is the working value. Results will also be run at 1.25, 2.0 and unweighted, to show whether rankings depend on the exact number.</t>
        </is>
      </c>
    </row>
    <row r="10" ht="15.75" customHeight="1">
      <c r="B10" s="3" t="inlineStr">
        <is>
          <t>What is in this workbook</t>
        </is>
      </c>
    </row>
    <row r="11" ht="25.5" customHeight="1">
      <c r="B11" s="4" t="inlineStr">
        <is>
          <t>Company industries (Step 1)</t>
        </is>
      </c>
      <c r="C11" s="5" t="inlineStr">
        <is>
          <t>DRAFT: each of the 65 companies assigned one SASB industry, with the reason and a confidence level.</t>
        </is>
      </c>
    </row>
    <row r="12" ht="25.5" customHeight="1">
      <c r="B12" s="4" t="inlineStr">
        <is>
          <t>Term mapping (Step 2)</t>
        </is>
      </c>
      <c r="C12" s="5" t="inlineStr">
        <is>
          <t>DRAFT: each of the 67 current terms assigned to a SASB category, plus its group (core, financial add-on or generic).</t>
        </is>
      </c>
    </row>
    <row r="13" ht="38.25" customHeight="1">
      <c r="B13" s="4" t="inlineStr">
        <is>
          <t>Industry materiality</t>
        </is>
      </c>
      <c r="C13" s="5" t="inlineStr">
        <is>
          <t>DRAFT: for each of the 22 industries in the sample, SASB's disclosure topics and the category each belongs to. This is SASB's own content, so it needs checking against the SASB Standards Navigator, not deciding.</t>
        </is>
      </c>
    </row>
    <row r="14">
      <c r="B14" s="4" t="inlineStr">
        <is>
          <t>SASB categories / SASB industries</t>
        </is>
      </c>
      <c r="C14" s="5" t="inlineStr">
        <is>
          <t>Reference lists that feed the drop-downs and the counts.</t>
        </is>
      </c>
    </row>
    <row r="15" ht="25.5" customHeight="1">
      <c r="B15" s="4" t="inlineStr">
        <is>
          <t>Step 3: sign-off</t>
        </is>
      </c>
      <c r="C15" s="5" t="inlineStr">
        <is>
          <t>The researcher reviews the yellow columns on the three draft sheets, then the supervisor approves.</t>
        </is>
      </c>
    </row>
    <row r="17" ht="15.75" customHeight="1">
      <c r="B17" s="3" t="inlineStr">
        <is>
          <t>How to review (yellow columns)</t>
        </is>
      </c>
    </row>
    <row r="18">
      <c r="B18" s="4" t="inlineStr">
        <is>
          <t>Agree?</t>
        </is>
      </c>
      <c r="C18" s="5" t="inlineStr">
        <is>
          <t>Choose Yes or No from the drop-down.</t>
        </is>
      </c>
    </row>
    <row r="19">
      <c r="B19" s="4" t="inlineStr">
        <is>
          <t>Change to</t>
        </is>
      </c>
      <c r="C19" s="5" t="inlineStr">
        <is>
          <t>If No, pick the correct SASB industry or category from the drop-down.</t>
        </is>
      </c>
    </row>
    <row r="20" ht="25.5" customHeight="1">
      <c r="B20" s="4" t="inlineStr">
        <is>
          <t>Comment</t>
        </is>
      </c>
      <c r="C20" s="5" t="inlineStr">
        <is>
          <t>Any reason or question. Example: Agree? = No · Change to = Real Estate · Comment = 'most of its revenue is rental income'.</t>
        </is>
      </c>
    </row>
    <row r="21" ht="25.5" customHeight="1">
      <c r="B21" s="4" t="inlineStr">
        <is>
          <t>Where to focus</t>
        </is>
      </c>
      <c r="C21" s="5" t="inlineStr">
        <is>
          <t>Rows marked Low or Medium confidence, and notes starting with QUESTION (shaded pink).</t>
        </is>
      </c>
    </row>
    <row r="23" ht="15.75" customHeight="1">
      <c r="B23" s="3" t="inlineStr">
        <is>
          <t>Summary (updates automatically)</t>
        </is>
      </c>
    </row>
    <row r="24">
      <c r="B24" s="5" t="inlineStr">
        <is>
          <t>Companies</t>
        </is>
      </c>
      <c r="C24" s="6">
        <f>COUNTA('Company industries'!B2:B66)</f>
        <v/>
      </c>
    </row>
    <row r="25">
      <c r="B25" s="5" t="inlineStr">
        <is>
          <t>SASB industries used</t>
        </is>
      </c>
      <c r="C25" s="6">
        <f>COUNTIF('SASB industries'!C2:C78,"&gt;0")</f>
        <v/>
      </c>
    </row>
    <row r="26">
      <c r="B26" s="5" t="inlineStr">
        <is>
          <t>Companies labelled financial in your list</t>
        </is>
      </c>
      <c r="C26" s="6">
        <f>COUNTIF('Company industries'!F2:F66,"Yes")</f>
        <v/>
      </c>
    </row>
    <row r="27" ht="25.5" customHeight="1">
      <c r="B27" s="5" t="inlineStr">
        <is>
          <t>Companies in SASB's Financials sector (would get the add-on)</t>
        </is>
      </c>
      <c r="C27" s="6">
        <f>COUNTIF('Company industries'!L2:L66,"Yes")</f>
        <v/>
      </c>
    </row>
    <row r="28">
      <c r="B28" s="5" t="inlineStr">
        <is>
          <t>Companies at Low confidence</t>
        </is>
      </c>
      <c r="C28" s="6">
        <f>COUNTIF('Company industries'!J2:J66,"Low")</f>
        <v/>
      </c>
    </row>
    <row r="29">
      <c r="B29" s="5" t="inlineStr">
        <is>
          <t>Terms in total</t>
        </is>
      </c>
      <c r="C29" s="6">
        <f>COUNTA('Term mapping'!C2:C68)</f>
        <v/>
      </c>
    </row>
    <row r="30">
      <c r="B30" s="5" t="inlineStr">
        <is>
          <t>Core terms (scored for every company)</t>
        </is>
      </c>
      <c r="C30" s="6">
        <f>COUNTIF('Term mapping'!D2:D68,"Core")</f>
        <v/>
      </c>
    </row>
    <row r="31">
      <c r="B31" s="5" t="inlineStr">
        <is>
          <t>Financial add-on terms</t>
        </is>
      </c>
      <c r="C31" s="6">
        <f>COUNTIF('Term mapping'!D2:D68,"Financial add-on")</f>
        <v/>
      </c>
    </row>
    <row r="32">
      <c r="B32" s="5" t="inlineStr">
        <is>
          <t>Core terms with no SASB category (always weight 1)</t>
        </is>
      </c>
      <c r="C32" s="6">
        <f>COUNTIFS('Term mapping'!D2:D68,"Core",'Term mapping'!E2:E68,"No SASB category")</f>
        <v/>
      </c>
    </row>
    <row r="33">
      <c r="B33" s="5" t="inlineStr">
        <is>
          <t>Average core terms with extra weight: banks</t>
        </is>
      </c>
      <c r="C33" s="6">
        <f>AVERAGEIF('Company industries'!H2:H66,"Commercial Banks",'Company industries'!M2:M66)</f>
        <v/>
      </c>
    </row>
    <row r="34" ht="25.5" customHeight="1">
      <c r="B34" s="5" t="inlineStr">
        <is>
          <t>Average core terms with extra weight: all other companies</t>
        </is>
      </c>
      <c r="C34" s="6">
        <f>AVERAGEIF('Company industries'!H2:H66,"&lt;&gt;Commercial Banks",'Company industries'!M2:M66)</f>
        <v/>
      </c>
    </row>
    <row r="36" ht="15.75" customHeight="1">
      <c r="B36" s="3" t="inlineStr">
        <is>
          <t>Points for the supervisor</t>
        </is>
      </c>
    </row>
    <row r="37" ht="51" customHeight="1">
      <c r="B37" s="4" t="inlineStr">
        <is>
          <t>1. Five companies are new to Verity</t>
        </is>
      </c>
      <c r="C37" s="5" t="inlineStr">
        <is>
          <t>Gulf Hotels Group, Jazeera Steel, Salam International Investment, Barwa Real Estate and Jazeera Airways. They have no market value in the list, so the sample is no longer purely 'top companies by market value'. The selection basis for these five needs a sentence in the methodology.</t>
        </is>
      </c>
    </row>
    <row r="38" ht="51" customHeight="1">
      <c r="B38" s="4" t="inlineStr">
        <is>
          <t>2. Two 'financial' labels change</t>
        </is>
      </c>
      <c r="C38" s="5" t="inlineStr">
        <is>
          <t>Saudi Industrial Investment Group (petrochemical holdings) and Dubai Investments (diversified, mainly property) are labelled Financial Services but are not financial businesses under SASB. Proposed: only companies in SASB's Financials sector get the financial add-on.</t>
        </is>
      </c>
    </row>
    <row r="39" ht="51" customHeight="1">
      <c r="B39" s="4" t="inlineStr">
        <is>
          <t>3. Judgement calls</t>
        </is>
      </c>
      <c r="C39" s="5" t="inlineStr">
        <is>
          <t>Property developers (Home Builders vs Real Estate have different material topics), integrated firms (Aramco, Petro Rabigh, Savola, Almarai, Industries Qatar), and four Low-confidence cases (CATRION, Dubai Investments, OMINVEST, Salam International).</t>
        </is>
      </c>
    </row>
    <row r="40" ht="25.5" customHeight="1">
      <c r="B40" s="4" t="inlineStr">
        <is>
          <t>4. Weighting mostly affects E and S</t>
        </is>
      </c>
      <c r="C40" s="5" t="inlineStr">
        <is>
          <t>SASB leaves board composition and similar governance topics outside its scope, so most Governance terms have no SASB category and stay at weight 1 for everyone.</t>
        </is>
      </c>
    </row>
    <row r="41" ht="51" customHeight="1">
      <c r="B41" s="4" t="inlineStr">
        <is>
          <t>5. Gap for non-banks</t>
        </is>
      </c>
      <c r="C41" s="5" t="inlineStr">
        <is>
          <t>Seven SASB categories have no Verity term (see 'SASB categories', column D = 0), including Air Quality and Critical Incident Risk Management. These are material for chemicals, cement, oil and gas, metals and airlines, which make up a large part of the sample.</t>
        </is>
      </c>
    </row>
    <row r="42">
      <c r="B42" s="4" t="inlineStr">
        <is>
          <t>6. Two term questions</t>
        </is>
      </c>
      <c r="C42" s="5" t="inlineStr">
        <is>
          <t>Should 'CSR' be counted with the generic terms? Should 'zakat' stay in the list?</t>
        </is>
      </c>
    </row>
    <row r="44" ht="15.75" customHeight="1">
      <c r="B44" s="3" t="inlineStr">
        <is>
          <t>Sources</t>
        </is>
      </c>
    </row>
    <row r="45">
      <c r="B45" s="4" t="inlineStr">
        <is>
          <t>Company list</t>
        </is>
      </c>
      <c r="C45" s="5" t="inlineStr">
        <is>
          <t>Updated_List_of_Companies.xlsx, supplied by the researcher (65 companies).</t>
        </is>
      </c>
    </row>
    <row r="46" ht="25.5" customHeight="1">
      <c r="B46" s="4" t="inlineStr">
        <is>
          <t>SASB industries and categories</t>
        </is>
      </c>
      <c r="C46" s="5" t="inlineStr">
        <is>
          <t>SASB Standards: 77 industries (SICS) and 26 General Issue Categories in five dimensions. Verify in the SASB Standards Navigator: https://navigator.sasb.ifrs.org</t>
        </is>
      </c>
    </row>
    <row r="47" ht="38.25" customHeight="1">
      <c r="B47" s="4" t="inlineStr">
        <is>
          <t>Industry materiality</t>
        </is>
      </c>
      <c r="C47" s="5" t="inlineStr">
        <is>
          <t>Drafted from the SASB industry standards' disclosure topics. Commercial Banks topics checked against published SASB indexes, which include the newer Financed Emissions topic. Other industries: verify each row.</t>
        </is>
      </c>
    </row>
    <row r="48" ht="38.25" customHeight="1">
      <c r="B48" s="4" t="inlineStr">
        <is>
          <t>Governance scope</t>
        </is>
      </c>
      <c r="C48" s="5" t="inlineStr">
        <is>
          <t>BDO, 'SASB Issues Sustainability Reporting Standards – Why Boards Should Take Notice': traditional governance issues such as board composition are outside SASB's scope.</t>
        </is>
      </c>
    </row>
    <row r="49">
      <c r="B49" s="4" t="inlineStr">
        <is>
          <t>Term list</t>
        </is>
      </c>
      <c r="C49" s="5" t="inlineStr">
        <is>
          <t>Verity taxonomy v3 (67 terms), from the methodology fact sheet.</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67"/>
  <sheetViews>
    <sheetView zoomScaleNormal="100" workbookViewId="0">
      <pane xSplit="2" ySplit="1" topLeftCell="H2" activePane="bottomRight" state="frozen"/>
      <selection pane="topRight" activeCell="C1" sqref="C1"/>
      <selection pane="bottomLeft" activeCell="A2" sqref="A2"/>
      <selection pane="bottomRight" activeCell="K20" sqref="K20"/>
    </sheetView>
  </sheetViews>
  <sheetFormatPr baseColWidth="8" defaultColWidth="8.7109375" defaultRowHeight="15"/>
  <cols>
    <col width="5" customWidth="1" min="1" max="1"/>
    <col width="36" customWidth="1" min="2" max="2"/>
    <col width="11" customWidth="1" min="3" max="3"/>
    <col width="15" customWidth="1" min="4" max="4"/>
    <col width="20" customWidth="1" min="5" max="5"/>
    <col width="26.42578125" customWidth="1" min="6" max="6"/>
    <col width="24" customWidth="1" min="7" max="7"/>
    <col width="32" customWidth="1" min="8" max="8"/>
    <col width="44" customWidth="1" min="9" max="9"/>
    <col width="11" customWidth="1" min="10" max="10"/>
    <col width="46" customWidth="1" min="11" max="11"/>
    <col width="13" customWidth="1" min="12" max="12"/>
    <col width="14" customWidth="1" min="13" max="13"/>
    <col width="9" customWidth="1" min="14" max="14"/>
    <col width="32" customWidth="1" min="15" max="15"/>
    <col width="34" customWidth="1" min="16" max="16"/>
  </cols>
  <sheetData>
    <row r="1" ht="31.5" customHeight="1">
      <c r="A1" s="7" t="inlineStr">
        <is>
          <t>#</t>
        </is>
      </c>
      <c r="B1" s="7" t="inlineStr">
        <is>
          <t>Company</t>
        </is>
      </c>
      <c r="C1" s="7" t="inlineStr">
        <is>
          <t>Symbol</t>
        </is>
      </c>
      <c r="D1" s="7" t="inlineStr">
        <is>
          <t>Country</t>
        </is>
      </c>
      <c r="E1" s="7" t="inlineStr">
        <is>
          <t>Industry (your list)</t>
        </is>
      </c>
      <c r="F1" s="7" t="inlineStr">
        <is>
          <t>Labelled financial today?</t>
        </is>
      </c>
      <c r="G1" s="7" t="inlineStr">
        <is>
          <t>SASB sector</t>
        </is>
      </c>
      <c r="H1" s="7" t="inlineStr">
        <is>
          <t>SASB industry</t>
        </is>
      </c>
      <c r="I1" s="7" t="inlineStr">
        <is>
          <t>Main business (basis for the choice)</t>
        </is>
      </c>
      <c r="J1" s="7" t="inlineStr">
        <is>
          <t>Confidence</t>
        </is>
      </c>
      <c r="K1" s="7" t="inlineStr">
        <is>
          <t>Note</t>
        </is>
      </c>
      <c r="L1" s="7" t="inlineStr">
        <is>
          <t>Gets financial add-on? (proposed)</t>
        </is>
      </c>
      <c r="M1" s="7" t="inlineStr">
        <is>
          <t>Core terms that get extra weight (draft)</t>
        </is>
      </c>
      <c r="N1" s="8" t="inlineStr">
        <is>
          <t>Agree?</t>
        </is>
      </c>
      <c r="O1" s="8" t="inlineStr">
        <is>
          <t>Change to</t>
        </is>
      </c>
      <c r="P1" s="8" t="inlineStr">
        <is>
          <t>Comment</t>
        </is>
      </c>
    </row>
    <row r="2" ht="25.5" customHeight="1">
      <c r="A2" s="9" t="n">
        <v>1</v>
      </c>
      <c r="B2" s="10" t="inlineStr">
        <is>
          <t>Saudi Aramco</t>
        </is>
      </c>
      <c r="C2" s="9" t="inlineStr">
        <is>
          <t>2222</t>
        </is>
      </c>
      <c r="D2" s="9" t="inlineStr">
        <is>
          <t>Saudi Arabia</t>
        </is>
      </c>
      <c r="E2" s="9" t="inlineStr">
        <is>
          <t>Energy</t>
        </is>
      </c>
      <c r="F2" s="11" t="inlineStr">
        <is>
          <t>No</t>
        </is>
      </c>
      <c r="G2" s="9">
        <f>IFERROR(INDEX('SASB industries'!$A$2:$A$78,MATCH(H2,'SASB industries'!$B$2:$B$78,0)),"check name")</f>
        <v/>
      </c>
      <c r="H2" s="9" t="inlineStr">
        <is>
          <t>Oil &amp; Gas – Exploration &amp; Production</t>
        </is>
      </c>
      <c r="I2" s="9" t="inlineStr">
        <is>
          <t>Integrated oil and gas; crude production is the core, with large refining and chemicals arms</t>
        </is>
      </c>
      <c r="J2" s="11" t="inlineStr">
        <is>
          <t>High</t>
        </is>
      </c>
      <c r="K2" s="9" t="inlineStr">
        <is>
          <t>Integrated firm. Alternative: Oil &amp; Gas – Refining &amp; Marketing.</t>
        </is>
      </c>
      <c r="L2" s="11">
        <f>IF(G2="Financials","Yes","No")</f>
        <v/>
      </c>
      <c r="M2" s="11">
        <f>SUMPRODUCT(('Term mapping'!$D$2:$D$68="Core")*(((COUNTIFS('Industry materiality'!$A$2:$A$169,$H2,'Industry materiality'!$C$2:$C$169,'Term mapping'!$E$2:$E$68)+COUNTIFS('Industry materiality'!$A$2:$A$169,$H2,'Industry materiality'!$C$2:$C$169,'Term mapping'!$F$2:$F$68))&gt;0)*1))</f>
        <v/>
      </c>
      <c r="N2" s="12" t="inlineStr">
        <is>
          <t>Yes</t>
        </is>
      </c>
      <c r="O2" s="12" t="n"/>
      <c r="P2" s="12" t="n"/>
    </row>
    <row r="3">
      <c r="A3" s="9" t="n">
        <v>2</v>
      </c>
      <c r="B3" s="10" t="inlineStr">
        <is>
          <t>Al Rajhi Bank</t>
        </is>
      </c>
      <c r="C3" s="9" t="inlineStr">
        <is>
          <t>1120</t>
        </is>
      </c>
      <c r="D3" s="9" t="inlineStr">
        <is>
          <t>Saudi Arabia</t>
        </is>
      </c>
      <c r="E3" s="9" t="inlineStr">
        <is>
          <t>Financial Services</t>
        </is>
      </c>
      <c r="F3" s="11" t="inlineStr">
        <is>
          <t>Yes</t>
        </is>
      </c>
      <c r="G3" s="9">
        <f>IFERROR(INDEX('SASB industries'!$A$2:$A$78,MATCH(H3,'SASB industries'!$B$2:$B$78,0)),"check name")</f>
        <v/>
      </c>
      <c r="H3" s="9" t="inlineStr">
        <is>
          <t>Commercial Banks</t>
        </is>
      </c>
      <c r="I3" s="9" t="inlineStr">
        <is>
          <t>Commercial bank</t>
        </is>
      </c>
      <c r="J3" s="11" t="inlineStr">
        <is>
          <t>High</t>
        </is>
      </c>
      <c r="K3" s="9" t="n"/>
      <c r="L3" s="11">
        <f>IF(G3="Financials","Yes","No")</f>
        <v/>
      </c>
      <c r="M3" s="11">
        <f>SUMPRODUCT(('Term mapping'!$D$2:$D$68="Core")*(((COUNTIFS('Industry materiality'!$A$2:$A$169,$H3,'Industry materiality'!$C$2:$C$169,'Term mapping'!$E$2:$E$68)+COUNTIFS('Industry materiality'!$A$2:$A$169,$H3,'Industry materiality'!$C$2:$C$169,'Term mapping'!$F$2:$F$68))&gt;0)*1))</f>
        <v/>
      </c>
      <c r="N3" s="12" t="inlineStr">
        <is>
          <t>Yes</t>
        </is>
      </c>
      <c r="O3" s="12" t="n"/>
      <c r="P3" s="12" t="n"/>
    </row>
    <row r="4">
      <c r="A4" s="9" t="n">
        <v>3</v>
      </c>
      <c r="B4" s="10" t="inlineStr">
        <is>
          <t>The Saudi National Bank</t>
        </is>
      </c>
      <c r="C4" s="9" t="inlineStr">
        <is>
          <t>1180</t>
        </is>
      </c>
      <c r="D4" s="9" t="inlineStr">
        <is>
          <t>Saudi Arabia</t>
        </is>
      </c>
      <c r="E4" s="9" t="inlineStr">
        <is>
          <t>Financial Services</t>
        </is>
      </c>
      <c r="F4" s="11" t="inlineStr">
        <is>
          <t>Yes</t>
        </is>
      </c>
      <c r="G4" s="9">
        <f>IFERROR(INDEX('SASB industries'!$A$2:$A$78,MATCH(H4,'SASB industries'!$B$2:$B$78,0)),"check name")</f>
        <v/>
      </c>
      <c r="H4" s="9" t="inlineStr">
        <is>
          <t>Commercial Banks</t>
        </is>
      </c>
      <c r="I4" s="9" t="inlineStr">
        <is>
          <t>Commercial bank</t>
        </is>
      </c>
      <c r="J4" s="11" t="inlineStr">
        <is>
          <t>High</t>
        </is>
      </c>
      <c r="K4" s="9" t="n"/>
      <c r="L4" s="11">
        <f>IF(G4="Financials","Yes","No")</f>
        <v/>
      </c>
      <c r="M4" s="11">
        <f>SUMPRODUCT(('Term mapping'!$D$2:$D$68="Core")*(((COUNTIFS('Industry materiality'!$A$2:$A$169,$H4,'Industry materiality'!$C$2:$C$169,'Term mapping'!$E$2:$E$68)+COUNTIFS('Industry materiality'!$A$2:$A$169,$H4,'Industry materiality'!$C$2:$C$169,'Term mapping'!$F$2:$F$68))&gt;0)*1))</f>
        <v/>
      </c>
      <c r="N4" s="12" t="inlineStr">
        <is>
          <t>Yes</t>
        </is>
      </c>
      <c r="O4" s="12" t="n"/>
      <c r="P4" s="12" t="n"/>
    </row>
    <row r="5" ht="25.5" customHeight="1">
      <c r="A5" s="9" t="n">
        <v>4</v>
      </c>
      <c r="B5" s="10" t="inlineStr">
        <is>
          <t>Saudi Basic Industries Corporation SABIC</t>
        </is>
      </c>
      <c r="C5" s="9" t="inlineStr">
        <is>
          <t>2010</t>
        </is>
      </c>
      <c r="D5" s="9" t="inlineStr">
        <is>
          <t>Saudi Arabia</t>
        </is>
      </c>
      <c r="E5" s="9" t="inlineStr">
        <is>
          <t>Industrial</t>
        </is>
      </c>
      <c r="F5" s="11" t="inlineStr">
        <is>
          <t>No</t>
        </is>
      </c>
      <c r="G5" s="9">
        <f>IFERROR(INDEX('SASB industries'!$A$2:$A$78,MATCH(H5,'SASB industries'!$B$2:$B$78,0)),"check name")</f>
        <v/>
      </c>
      <c r="H5" s="9" t="inlineStr">
        <is>
          <t>Chemicals</t>
        </is>
      </c>
      <c r="I5" s="9" t="inlineStr">
        <is>
          <t>Petrochemicals, polymers and specialty chemicals</t>
        </is>
      </c>
      <c r="J5" s="11" t="inlineStr">
        <is>
          <t>High</t>
        </is>
      </c>
      <c r="K5" s="9" t="n"/>
      <c r="L5" s="11">
        <f>IF(G5="Financials","Yes","No")</f>
        <v/>
      </c>
      <c r="M5" s="11">
        <f>SUMPRODUCT(('Term mapping'!$D$2:$D$68="Core")*(((COUNTIFS('Industry materiality'!$A$2:$A$169,$H5,'Industry materiality'!$C$2:$C$169,'Term mapping'!$E$2:$E$68)+COUNTIFS('Industry materiality'!$A$2:$A$169,$H5,'Industry materiality'!$C$2:$C$169,'Term mapping'!$F$2:$F$68))&gt;0)*1))</f>
        <v/>
      </c>
      <c r="N5" s="12" t="inlineStr">
        <is>
          <t>Yes</t>
        </is>
      </c>
      <c r="O5" s="12" t="n"/>
      <c r="P5" s="12" t="n"/>
    </row>
    <row r="6" ht="25.5" customHeight="1">
      <c r="A6" s="9" t="n">
        <v>5</v>
      </c>
      <c r="B6" s="10" t="inlineStr">
        <is>
          <t>Saudi Telecom Company</t>
        </is>
      </c>
      <c r="C6" s="9" t="inlineStr">
        <is>
          <t>7010</t>
        </is>
      </c>
      <c r="D6" s="9" t="inlineStr">
        <is>
          <t>Saudi Arabia</t>
        </is>
      </c>
      <c r="E6" s="9" t="inlineStr">
        <is>
          <t>Communication Services</t>
        </is>
      </c>
      <c r="F6" s="11" t="inlineStr">
        <is>
          <t>No</t>
        </is>
      </c>
      <c r="G6" s="9">
        <f>IFERROR(INDEX('SASB industries'!$A$2:$A$78,MATCH(H6,'SASB industries'!$B$2:$B$78,0)),"check name")</f>
        <v/>
      </c>
      <c r="H6" s="9" t="inlineStr">
        <is>
          <t>Telecommunication Services</t>
        </is>
      </c>
      <c r="I6" s="9" t="inlineStr">
        <is>
          <t>Mobile, fixed and internet telecom operator</t>
        </is>
      </c>
      <c r="J6" s="11" t="inlineStr">
        <is>
          <t>High</t>
        </is>
      </c>
      <c r="K6" s="9" t="n"/>
      <c r="L6" s="11">
        <f>IF(G6="Financials","Yes","No")</f>
        <v/>
      </c>
      <c r="M6" s="11">
        <f>SUMPRODUCT(('Term mapping'!$D$2:$D$68="Core")*(((COUNTIFS('Industry materiality'!$A$2:$A$169,$H6,'Industry materiality'!$C$2:$C$169,'Term mapping'!$E$2:$E$68)+COUNTIFS('Industry materiality'!$A$2:$A$169,$H6,'Industry materiality'!$C$2:$C$169,'Term mapping'!$F$2:$F$68))&gt;0)*1))</f>
        <v/>
      </c>
      <c r="N6" s="12" t="inlineStr">
        <is>
          <t>Yes</t>
        </is>
      </c>
      <c r="O6" s="12" t="n"/>
      <c r="P6" s="12" t="n"/>
    </row>
    <row r="7" ht="25.5" customHeight="1">
      <c r="A7" s="9" t="n">
        <v>6</v>
      </c>
      <c r="B7" s="10" t="inlineStr">
        <is>
          <t>Maaden</t>
        </is>
      </c>
      <c r="C7" s="9" t="inlineStr">
        <is>
          <t>1211</t>
        </is>
      </c>
      <c r="D7" s="9" t="inlineStr">
        <is>
          <t>Saudi Arabia</t>
        </is>
      </c>
      <c r="E7" s="9" t="inlineStr">
        <is>
          <t>Industrial</t>
        </is>
      </c>
      <c r="F7" s="11" t="inlineStr">
        <is>
          <t>No</t>
        </is>
      </c>
      <c r="G7" s="9">
        <f>IFERROR(INDEX('SASB industries'!$A$2:$A$78,MATCH(H7,'SASB industries'!$B$2:$B$78,0)),"check name")</f>
        <v/>
      </c>
      <c r="H7" s="9" t="inlineStr">
        <is>
          <t>Metals &amp; Mining</t>
        </is>
      </c>
      <c r="I7" s="9" t="inlineStr">
        <is>
          <t>Phosphate, aluminium and gold mining and processing</t>
        </is>
      </c>
      <c r="J7" s="11" t="inlineStr">
        <is>
          <t>High</t>
        </is>
      </c>
      <c r="K7" s="9" t="n"/>
      <c r="L7" s="11">
        <f>IF(G7="Financials","Yes","No")</f>
        <v/>
      </c>
      <c r="M7" s="11">
        <f>SUMPRODUCT(('Term mapping'!$D$2:$D$68="Core")*(((COUNTIFS('Industry materiality'!$A$2:$A$169,$H7,'Industry materiality'!$C$2:$C$169,'Term mapping'!$E$2:$E$68)+COUNTIFS('Industry materiality'!$A$2:$A$169,$H7,'Industry materiality'!$C$2:$C$169,'Term mapping'!$F$2:$F$68))&gt;0)*1))</f>
        <v/>
      </c>
      <c r="N7" s="12" t="inlineStr">
        <is>
          <t>Yes</t>
        </is>
      </c>
      <c r="O7" s="12" t="n"/>
      <c r="P7" s="12" t="n"/>
    </row>
    <row r="8">
      <c r="A8" s="9" t="n">
        <v>7</v>
      </c>
      <c r="B8" s="10" t="inlineStr">
        <is>
          <t>Riyad Bank</t>
        </is>
      </c>
      <c r="C8" s="9" t="inlineStr">
        <is>
          <t>1010</t>
        </is>
      </c>
      <c r="D8" s="9" t="inlineStr">
        <is>
          <t>Saudi Arabia</t>
        </is>
      </c>
      <c r="E8" s="9" t="inlineStr">
        <is>
          <t>Financial Services</t>
        </is>
      </c>
      <c r="F8" s="11" t="inlineStr">
        <is>
          <t>Yes</t>
        </is>
      </c>
      <c r="G8" s="9">
        <f>IFERROR(INDEX('SASB industries'!$A$2:$A$78,MATCH(H8,'SASB industries'!$B$2:$B$78,0)),"check name")</f>
        <v/>
      </c>
      <c r="H8" s="9" t="inlineStr">
        <is>
          <t>Commercial Banks</t>
        </is>
      </c>
      <c r="I8" s="9" t="inlineStr">
        <is>
          <t>Commercial bank</t>
        </is>
      </c>
      <c r="J8" s="11" t="inlineStr">
        <is>
          <t>High</t>
        </is>
      </c>
      <c r="K8" s="9" t="n"/>
      <c r="L8" s="11">
        <f>IF(G8="Financials","Yes","No")</f>
        <v/>
      </c>
      <c r="M8" s="11">
        <f>SUMPRODUCT(('Term mapping'!$D$2:$D$68="Core")*(((COUNTIFS('Industry materiality'!$A$2:$A$169,$H8,'Industry materiality'!$C$2:$C$169,'Term mapping'!$E$2:$E$68)+COUNTIFS('Industry materiality'!$A$2:$A$169,$H8,'Industry materiality'!$C$2:$C$169,'Term mapping'!$F$2:$F$68))&gt;0)*1))</f>
        <v/>
      </c>
      <c r="N8" s="12" t="inlineStr">
        <is>
          <t>Yes</t>
        </is>
      </c>
      <c r="O8" s="12" t="n"/>
      <c r="P8" s="12" t="n"/>
    </row>
    <row r="9">
      <c r="A9" s="9" t="n">
        <v>8</v>
      </c>
      <c r="B9" s="10" t="inlineStr">
        <is>
          <t>Alinma Bank</t>
        </is>
      </c>
      <c r="C9" s="9" t="inlineStr">
        <is>
          <t>1150</t>
        </is>
      </c>
      <c r="D9" s="9" t="inlineStr">
        <is>
          <t>Saudi Arabia</t>
        </is>
      </c>
      <c r="E9" s="9" t="inlineStr">
        <is>
          <t>Financial Services</t>
        </is>
      </c>
      <c r="F9" s="11" t="inlineStr">
        <is>
          <t>Yes</t>
        </is>
      </c>
      <c r="G9" s="9">
        <f>IFERROR(INDEX('SASB industries'!$A$2:$A$78,MATCH(H9,'SASB industries'!$B$2:$B$78,0)),"check name")</f>
        <v/>
      </c>
      <c r="H9" s="9" t="inlineStr">
        <is>
          <t>Commercial Banks</t>
        </is>
      </c>
      <c r="I9" s="9" t="inlineStr">
        <is>
          <t>Commercial bank</t>
        </is>
      </c>
      <c r="J9" s="11" t="inlineStr">
        <is>
          <t>High</t>
        </is>
      </c>
      <c r="K9" s="9" t="n"/>
      <c r="L9" s="11">
        <f>IF(G9="Financials","Yes","No")</f>
        <v/>
      </c>
      <c r="M9" s="11">
        <f>SUMPRODUCT(('Term mapping'!$D$2:$D$68="Core")*(((COUNTIFS('Industry materiality'!$A$2:$A$169,$H9,'Industry materiality'!$C$2:$C$169,'Term mapping'!$E$2:$E$68)+COUNTIFS('Industry materiality'!$A$2:$A$169,$H9,'Industry materiality'!$C$2:$C$169,'Term mapping'!$F$2:$F$68))&gt;0)*1))</f>
        <v/>
      </c>
      <c r="N9" s="12" t="inlineStr">
        <is>
          <t>Yes</t>
        </is>
      </c>
      <c r="O9" s="12" t="n"/>
      <c r="P9" s="12" t="n"/>
    </row>
    <row r="10" ht="25.5" customHeight="1">
      <c r="A10" s="9" t="n">
        <v>9</v>
      </c>
      <c r="B10" s="10" t="inlineStr">
        <is>
          <t>Yanbu Cement Company</t>
        </is>
      </c>
      <c r="C10" s="9" t="inlineStr">
        <is>
          <t>3060</t>
        </is>
      </c>
      <c r="D10" s="9" t="inlineStr">
        <is>
          <t>Saudi Arabia</t>
        </is>
      </c>
      <c r="E10" s="9" t="inlineStr">
        <is>
          <t>Industrial</t>
        </is>
      </c>
      <c r="F10" s="11" t="inlineStr">
        <is>
          <t>No</t>
        </is>
      </c>
      <c r="G10" s="9">
        <f>IFERROR(INDEX('SASB industries'!$A$2:$A$78,MATCH(H10,'SASB industries'!$B$2:$B$78,0)),"check name")</f>
        <v/>
      </c>
      <c r="H10" s="9" t="inlineStr">
        <is>
          <t>Construction Materials</t>
        </is>
      </c>
      <c r="I10" s="9" t="inlineStr">
        <is>
          <t>Cement production</t>
        </is>
      </c>
      <c r="J10" s="11" t="inlineStr">
        <is>
          <t>High</t>
        </is>
      </c>
      <c r="K10" s="9" t="n"/>
      <c r="L10" s="11">
        <f>IF(G10="Financials","Yes","No")</f>
        <v/>
      </c>
      <c r="M10" s="11">
        <f>SUMPRODUCT(('Term mapping'!$D$2:$D$68="Core")*(((COUNTIFS('Industry materiality'!$A$2:$A$169,$H10,'Industry materiality'!$C$2:$C$169,'Term mapping'!$E$2:$E$68)+COUNTIFS('Industry materiality'!$A$2:$A$169,$H10,'Industry materiality'!$C$2:$C$169,'Term mapping'!$F$2:$F$68))&gt;0)*1))</f>
        <v/>
      </c>
      <c r="N10" s="12" t="inlineStr">
        <is>
          <t>Yes</t>
        </is>
      </c>
      <c r="O10" s="12" t="n"/>
      <c r="P10" s="12" t="n"/>
    </row>
    <row r="11">
      <c r="A11" s="9" t="n">
        <v>10</v>
      </c>
      <c r="B11" s="10" t="inlineStr">
        <is>
          <t>SABIC Agri-Nutrients Company</t>
        </is>
      </c>
      <c r="C11" s="9" t="inlineStr">
        <is>
          <t>2020</t>
        </is>
      </c>
      <c r="D11" s="9" t="inlineStr">
        <is>
          <t>Saudi Arabia</t>
        </is>
      </c>
      <c r="E11" s="9" t="inlineStr">
        <is>
          <t>Industrial</t>
        </is>
      </c>
      <c r="F11" s="11" t="inlineStr">
        <is>
          <t>No</t>
        </is>
      </c>
      <c r="G11" s="9">
        <f>IFERROR(INDEX('SASB industries'!$A$2:$A$78,MATCH(H11,'SASB industries'!$B$2:$B$78,0)),"check name")</f>
        <v/>
      </c>
      <c r="H11" s="9" t="inlineStr">
        <is>
          <t>Chemicals</t>
        </is>
      </c>
      <c r="I11" s="9" t="inlineStr">
        <is>
          <t>Fertilisers (ammonia, urea)</t>
        </is>
      </c>
      <c r="J11" s="11" t="inlineStr">
        <is>
          <t>High</t>
        </is>
      </c>
      <c r="K11" s="9" t="inlineStr">
        <is>
          <t>SASB places fertiliser producers under Chemicals.</t>
        </is>
      </c>
      <c r="L11" s="11">
        <f>IF(G11="Financials","Yes","No")</f>
        <v/>
      </c>
      <c r="M11" s="11">
        <f>SUMPRODUCT(('Term mapping'!$D$2:$D$68="Core")*(((COUNTIFS('Industry materiality'!$A$2:$A$169,$H11,'Industry materiality'!$C$2:$C$169,'Term mapping'!$E$2:$E$68)+COUNTIFS('Industry materiality'!$A$2:$A$169,$H11,'Industry materiality'!$C$2:$C$169,'Term mapping'!$F$2:$F$68))&gt;0)*1))</f>
        <v/>
      </c>
      <c r="N11" s="12" t="inlineStr">
        <is>
          <t>Yes</t>
        </is>
      </c>
      <c r="O11" s="12" t="n"/>
      <c r="P11" s="12" t="n"/>
    </row>
    <row r="12">
      <c r="A12" s="9" t="n">
        <v>11</v>
      </c>
      <c r="B12" s="10" t="inlineStr">
        <is>
          <t>Almarai</t>
        </is>
      </c>
      <c r="C12" s="9" t="inlineStr">
        <is>
          <t>2280</t>
        </is>
      </c>
      <c r="D12" s="9" t="inlineStr">
        <is>
          <t>Saudi Arabia</t>
        </is>
      </c>
      <c r="E12" s="9" t="inlineStr">
        <is>
          <t>Consumer Defensive</t>
        </is>
      </c>
      <c r="F12" s="11" t="inlineStr">
        <is>
          <t>No</t>
        </is>
      </c>
      <c r="G12" s="9">
        <f>IFERROR(INDEX('SASB industries'!$A$2:$A$78,MATCH(H12,'SASB industries'!$B$2:$B$78,0)),"check name")</f>
        <v/>
      </c>
      <c r="H12" s="9" t="inlineStr">
        <is>
          <t>Meat, Poultry &amp; Dairy</t>
        </is>
      </c>
      <c r="I12" s="9" t="inlineStr">
        <is>
          <t>Dairy, juice, bakery and poultry</t>
        </is>
      </c>
      <c r="J12" s="11" t="inlineStr">
        <is>
          <t>Medium</t>
        </is>
      </c>
      <c r="K12" s="9" t="inlineStr">
        <is>
          <t>Alternative: Processed Foods.</t>
        </is>
      </c>
      <c r="L12" s="11">
        <f>IF(G12="Financials","Yes","No")</f>
        <v/>
      </c>
      <c r="M12" s="11">
        <f>SUMPRODUCT(('Term mapping'!$D$2:$D$68="Core")*(((COUNTIFS('Industry materiality'!$A$2:$A$169,$H12,'Industry materiality'!$C$2:$C$169,'Term mapping'!$E$2:$E$68)+COUNTIFS('Industry materiality'!$A$2:$A$169,$H12,'Industry materiality'!$C$2:$C$169,'Term mapping'!$F$2:$F$68))&gt;0)*1))</f>
        <v/>
      </c>
      <c r="N12" s="12" t="inlineStr">
        <is>
          <t>Yes</t>
        </is>
      </c>
      <c r="O12" s="12" t="n"/>
      <c r="P12" s="12" t="n"/>
    </row>
    <row r="13">
      <c r="A13" s="9" t="n">
        <v>12</v>
      </c>
      <c r="B13" s="10" t="inlineStr">
        <is>
          <t>Bank Albilad</t>
        </is>
      </c>
      <c r="C13" s="9" t="inlineStr">
        <is>
          <t>1140</t>
        </is>
      </c>
      <c r="D13" s="9" t="inlineStr">
        <is>
          <t>Saudi Arabia</t>
        </is>
      </c>
      <c r="E13" s="9" t="inlineStr">
        <is>
          <t>Financial Services</t>
        </is>
      </c>
      <c r="F13" s="11" t="inlineStr">
        <is>
          <t>Yes</t>
        </is>
      </c>
      <c r="G13" s="9">
        <f>IFERROR(INDEX('SASB industries'!$A$2:$A$78,MATCH(H13,'SASB industries'!$B$2:$B$78,0)),"check name")</f>
        <v/>
      </c>
      <c r="H13" s="9" t="inlineStr">
        <is>
          <t>Commercial Banks</t>
        </is>
      </c>
      <c r="I13" s="9" t="inlineStr">
        <is>
          <t>Commercial bank</t>
        </is>
      </c>
      <c r="J13" s="11" t="inlineStr">
        <is>
          <t>High</t>
        </is>
      </c>
      <c r="K13" s="9" t="n"/>
      <c r="L13" s="11">
        <f>IF(G13="Financials","Yes","No")</f>
        <v/>
      </c>
      <c r="M13" s="11">
        <f>SUMPRODUCT(('Term mapping'!$D$2:$D$68="Core")*(((COUNTIFS('Industry materiality'!$A$2:$A$169,$H13,'Industry materiality'!$C$2:$C$169,'Term mapping'!$E$2:$E$68)+COUNTIFS('Industry materiality'!$A$2:$A$169,$H13,'Industry materiality'!$C$2:$C$169,'Term mapping'!$F$2:$F$68))&gt;0)*1))</f>
        <v/>
      </c>
      <c r="N13" s="12" t="inlineStr">
        <is>
          <t>Yes</t>
        </is>
      </c>
      <c r="O13" s="12" t="n"/>
      <c r="P13" s="12" t="n"/>
    </row>
    <row r="14" ht="25.5" customHeight="1">
      <c r="A14" s="9" t="n">
        <v>13</v>
      </c>
      <c r="B14" s="10" t="inlineStr">
        <is>
          <t>Etihad Etisalat (Mobily)</t>
        </is>
      </c>
      <c r="C14" s="9" t="inlineStr">
        <is>
          <t>7020</t>
        </is>
      </c>
      <c r="D14" s="9" t="inlineStr">
        <is>
          <t>Saudi Arabia</t>
        </is>
      </c>
      <c r="E14" s="9" t="inlineStr">
        <is>
          <t>Communication Services</t>
        </is>
      </c>
      <c r="F14" s="11" t="inlineStr">
        <is>
          <t>No</t>
        </is>
      </c>
      <c r="G14" s="9">
        <f>IFERROR(INDEX('SASB industries'!$A$2:$A$78,MATCH(H14,'SASB industries'!$B$2:$B$78,0)),"check name")</f>
        <v/>
      </c>
      <c r="H14" s="9" t="inlineStr">
        <is>
          <t>Telecommunication Services</t>
        </is>
      </c>
      <c r="I14" s="9" t="inlineStr">
        <is>
          <t>Mobile, fixed and internet telecom operator</t>
        </is>
      </c>
      <c r="J14" s="11" t="inlineStr">
        <is>
          <t>High</t>
        </is>
      </c>
      <c r="K14" s="9" t="n"/>
      <c r="L14" s="11">
        <f>IF(G14="Financials","Yes","No")</f>
        <v/>
      </c>
      <c r="M14" s="11">
        <f>SUMPRODUCT(('Term mapping'!$D$2:$D$68="Core")*(((COUNTIFS('Industry materiality'!$A$2:$A$169,$H14,'Industry materiality'!$C$2:$C$169,'Term mapping'!$E$2:$E$68)+COUNTIFS('Industry materiality'!$A$2:$A$169,$H14,'Industry materiality'!$C$2:$C$169,'Term mapping'!$F$2:$F$68))&gt;0)*1))</f>
        <v/>
      </c>
      <c r="N14" s="12" t="inlineStr">
        <is>
          <t>Yes</t>
        </is>
      </c>
      <c r="O14" s="12" t="n"/>
      <c r="P14" s="12" t="n"/>
    </row>
    <row r="15" ht="25.5" customHeight="1">
      <c r="A15" s="9" t="n">
        <v>14</v>
      </c>
      <c r="B15" s="10" t="inlineStr">
        <is>
          <t>Savola Group</t>
        </is>
      </c>
      <c r="C15" s="9" t="inlineStr">
        <is>
          <t>2050</t>
        </is>
      </c>
      <c r="D15" s="9" t="inlineStr">
        <is>
          <t>Saudi Arabia</t>
        </is>
      </c>
      <c r="E15" s="9" t="inlineStr">
        <is>
          <t>Consumer Defensive</t>
        </is>
      </c>
      <c r="F15" s="11" t="inlineStr">
        <is>
          <t>No</t>
        </is>
      </c>
      <c r="G15" s="9">
        <f>IFERROR(INDEX('SASB industries'!$A$2:$A$78,MATCH(H15,'SASB industries'!$B$2:$B$78,0)),"check name")</f>
        <v/>
      </c>
      <c r="H15" s="9" t="inlineStr">
        <is>
          <t>Processed Foods</t>
        </is>
      </c>
      <c r="I15" s="9" t="inlineStr">
        <is>
          <t>Edible oils, sugar and pasta, plus a large supermarket chain (Panda)</t>
        </is>
      </c>
      <c r="J15" s="11" t="inlineStr">
        <is>
          <t>Medium</t>
        </is>
      </c>
      <c r="K15" s="9" t="inlineStr">
        <is>
          <t>Alternative: Food Retailers &amp; Distributors, depending on which segment is larger.</t>
        </is>
      </c>
      <c r="L15" s="11">
        <f>IF(G15="Financials","Yes","No")</f>
        <v/>
      </c>
      <c r="M15" s="11">
        <f>SUMPRODUCT(('Term mapping'!$D$2:$D$68="Core")*(((COUNTIFS('Industry materiality'!$A$2:$A$169,$H15,'Industry materiality'!$C$2:$C$169,'Term mapping'!$E$2:$E$68)+COUNTIFS('Industry materiality'!$A$2:$A$169,$H15,'Industry materiality'!$C$2:$C$169,'Term mapping'!$F$2:$F$68))&gt;0)*1))</f>
        <v/>
      </c>
      <c r="N15" s="12" t="inlineStr">
        <is>
          <t>Yes</t>
        </is>
      </c>
      <c r="O15" s="12" t="n"/>
      <c r="P15" s="12" t="n"/>
    </row>
    <row r="16">
      <c r="A16" s="9" t="n">
        <v>15</v>
      </c>
      <c r="B16" s="10" t="inlineStr">
        <is>
          <t>Yanbu National Petrochemical Co</t>
        </is>
      </c>
      <c r="C16" s="9" t="inlineStr">
        <is>
          <t>2290</t>
        </is>
      </c>
      <c r="D16" s="9" t="inlineStr">
        <is>
          <t>Saudi Arabia</t>
        </is>
      </c>
      <c r="E16" s="9" t="inlineStr">
        <is>
          <t>Industrial</t>
        </is>
      </c>
      <c r="F16" s="11" t="inlineStr">
        <is>
          <t>No</t>
        </is>
      </c>
      <c r="G16" s="9">
        <f>IFERROR(INDEX('SASB industries'!$A$2:$A$78,MATCH(H16,'SASB industries'!$B$2:$B$78,0)),"check name")</f>
        <v/>
      </c>
      <c r="H16" s="9" t="inlineStr">
        <is>
          <t>Chemicals</t>
        </is>
      </c>
      <c r="I16" s="9" t="inlineStr">
        <is>
          <t>Petrochemicals</t>
        </is>
      </c>
      <c r="J16" s="11" t="inlineStr">
        <is>
          <t>High</t>
        </is>
      </c>
      <c r="K16" s="9" t="n"/>
      <c r="L16" s="11">
        <f>IF(G16="Financials","Yes","No")</f>
        <v/>
      </c>
      <c r="M16" s="11">
        <f>SUMPRODUCT(('Term mapping'!$D$2:$D$68="Core")*(((COUNTIFS('Industry materiality'!$A$2:$A$169,$H16,'Industry materiality'!$C$2:$C$169,'Term mapping'!$E$2:$E$68)+COUNTIFS('Industry materiality'!$A$2:$A$169,$H16,'Industry materiality'!$C$2:$C$169,'Term mapping'!$F$2:$F$68))&gt;0)*1))</f>
        <v/>
      </c>
      <c r="N16" s="12" t="inlineStr">
        <is>
          <t>Yes</t>
        </is>
      </c>
      <c r="O16" s="12" t="n"/>
      <c r="P16" s="12" t="n"/>
    </row>
    <row r="17" ht="25.5" customHeight="1">
      <c r="A17" s="9" t="n">
        <v>16</v>
      </c>
      <c r="B17" s="10" t="inlineStr">
        <is>
          <t>Dar Al Arkan Real Estate Development Company</t>
        </is>
      </c>
      <c r="C17" s="9" t="inlineStr">
        <is>
          <t>4300</t>
        </is>
      </c>
      <c r="D17" s="9" t="inlineStr">
        <is>
          <t>Saudi Arabia</t>
        </is>
      </c>
      <c r="E17" s="9" t="inlineStr">
        <is>
          <t>Real Estate</t>
        </is>
      </c>
      <c r="F17" s="11" t="inlineStr">
        <is>
          <t>No</t>
        </is>
      </c>
      <c r="G17" s="9">
        <f>IFERROR(INDEX('SASB industries'!$A$2:$A$78,MATCH(H17,'SASB industries'!$B$2:$B$78,0)),"check name")</f>
        <v/>
      </c>
      <c r="H17" s="9" t="inlineStr">
        <is>
          <t>Home Builders</t>
        </is>
      </c>
      <c r="I17" s="9" t="inlineStr">
        <is>
          <t>Land and residential development for sale</t>
        </is>
      </c>
      <c r="J17" s="11" t="inlineStr">
        <is>
          <t>Medium</t>
        </is>
      </c>
      <c r="K17" s="9" t="inlineStr">
        <is>
          <t>Alternative: Real Estate. The two have different material topics, so this choice matters.</t>
        </is>
      </c>
      <c r="L17" s="11">
        <f>IF(G17="Financials","Yes","No")</f>
        <v/>
      </c>
      <c r="M17" s="11">
        <f>SUMPRODUCT(('Term mapping'!$D$2:$D$68="Core")*(((COUNTIFS('Industry materiality'!$A$2:$A$169,$H17,'Industry materiality'!$C$2:$C$169,'Term mapping'!$E$2:$E$68)+COUNTIFS('Industry materiality'!$A$2:$A$169,$H17,'Industry materiality'!$C$2:$C$169,'Term mapping'!$F$2:$F$68))&gt;0)*1))</f>
        <v/>
      </c>
      <c r="N17" s="12" t="inlineStr">
        <is>
          <t>Yes</t>
        </is>
      </c>
      <c r="O17" s="12" t="n"/>
      <c r="P17" s="12" t="n"/>
    </row>
    <row r="18">
      <c r="A18" s="9" t="n">
        <v>17</v>
      </c>
      <c r="B18" s="10" t="inlineStr">
        <is>
          <t>Advanced Petrochemical</t>
        </is>
      </c>
      <c r="C18" s="9" t="inlineStr">
        <is>
          <t>2330</t>
        </is>
      </c>
      <c r="D18" s="9" t="inlineStr">
        <is>
          <t>Saudi Arabia</t>
        </is>
      </c>
      <c r="E18" s="9" t="inlineStr">
        <is>
          <t>Industrial</t>
        </is>
      </c>
      <c r="F18" s="11" t="inlineStr">
        <is>
          <t>No</t>
        </is>
      </c>
      <c r="G18" s="9">
        <f>IFERROR(INDEX('SASB industries'!$A$2:$A$78,MATCH(H18,'SASB industries'!$B$2:$B$78,0)),"check name")</f>
        <v/>
      </c>
      <c r="H18" s="9" t="inlineStr">
        <is>
          <t>Chemicals</t>
        </is>
      </c>
      <c r="I18" s="9" t="inlineStr">
        <is>
          <t>Polypropylene and other petrochemicals</t>
        </is>
      </c>
      <c r="J18" s="11" t="inlineStr">
        <is>
          <t>High</t>
        </is>
      </c>
      <c r="K18" s="9" t="n"/>
      <c r="L18" s="11">
        <f>IF(G18="Financials","Yes","No")</f>
        <v/>
      </c>
      <c r="M18" s="11">
        <f>SUMPRODUCT(('Term mapping'!$D$2:$D$68="Core")*(((COUNTIFS('Industry materiality'!$A$2:$A$169,$H18,'Industry materiality'!$C$2:$C$169,'Term mapping'!$E$2:$E$68)+COUNTIFS('Industry materiality'!$A$2:$A$169,$H18,'Industry materiality'!$C$2:$C$169,'Term mapping'!$F$2:$F$68))&gt;0)*1))</f>
        <v/>
      </c>
      <c r="N18" s="12" t="inlineStr">
        <is>
          <t>Yes</t>
        </is>
      </c>
      <c r="O18" s="12" t="n"/>
      <c r="P18" s="12" t="n"/>
    </row>
    <row r="19" ht="25.5" customHeight="1">
      <c r="A19" s="9" t="n">
        <v>18</v>
      </c>
      <c r="B19" s="10" t="inlineStr">
        <is>
          <t>Mouwasat Medical Services Company</t>
        </is>
      </c>
      <c r="C19" s="9" t="inlineStr">
        <is>
          <t>4002</t>
        </is>
      </c>
      <c r="D19" s="9" t="inlineStr">
        <is>
          <t>Saudi Arabia</t>
        </is>
      </c>
      <c r="E19" s="9" t="inlineStr">
        <is>
          <t>Healthcare</t>
        </is>
      </c>
      <c r="F19" s="11" t="inlineStr">
        <is>
          <t>No</t>
        </is>
      </c>
      <c r="G19" s="9">
        <f>IFERROR(INDEX('SASB industries'!$A$2:$A$78,MATCH(H19,'SASB industries'!$B$2:$B$78,0)),"check name")</f>
        <v/>
      </c>
      <c r="H19" s="9" t="inlineStr">
        <is>
          <t>Health Care Delivery</t>
        </is>
      </c>
      <c r="I19" s="9" t="inlineStr">
        <is>
          <t>Private hospitals and clinics</t>
        </is>
      </c>
      <c r="J19" s="11" t="inlineStr">
        <is>
          <t>High</t>
        </is>
      </c>
      <c r="K19" s="9" t="n"/>
      <c r="L19" s="11">
        <f>IF(G19="Financials","Yes","No")</f>
        <v/>
      </c>
      <c r="M19" s="11">
        <f>SUMPRODUCT(('Term mapping'!$D$2:$D$68="Core")*(((COUNTIFS('Industry materiality'!$A$2:$A$169,$H19,'Industry materiality'!$C$2:$C$169,'Term mapping'!$E$2:$E$68)+COUNTIFS('Industry materiality'!$A$2:$A$169,$H19,'Industry materiality'!$C$2:$C$169,'Term mapping'!$F$2:$F$68))&gt;0)*1))</f>
        <v/>
      </c>
      <c r="N19" s="12" t="inlineStr">
        <is>
          <t>Yes</t>
        </is>
      </c>
      <c r="O19" s="12" t="n"/>
      <c r="P19" s="12" t="n"/>
    </row>
    <row r="20" ht="25.5" customHeight="1">
      <c r="A20" s="9" t="n">
        <v>19</v>
      </c>
      <c r="B20" s="10" t="inlineStr">
        <is>
          <t>Saudi Airlines Catering Company CATRION</t>
        </is>
      </c>
      <c r="C20" s="9" t="inlineStr">
        <is>
          <t>6004</t>
        </is>
      </c>
      <c r="D20" s="9" t="inlineStr">
        <is>
          <t>Saudi Arabia</t>
        </is>
      </c>
      <c r="E20" s="9" t="inlineStr">
        <is>
          <t>Consumer Cyclical</t>
        </is>
      </c>
      <c r="F20" s="11" t="inlineStr">
        <is>
          <t>No</t>
        </is>
      </c>
      <c r="G20" s="9">
        <f>IFERROR(INDEX('SASB industries'!$A$2:$A$78,MATCH(H20,'SASB industries'!$B$2:$B$78,0)),"check name")</f>
        <v/>
      </c>
      <c r="H20" s="9" t="inlineStr">
        <is>
          <t>Restaurants</t>
        </is>
      </c>
      <c r="I20" s="9" t="inlineStr">
        <is>
          <t>Airline and institutional catering</t>
        </is>
      </c>
      <c r="J20" s="13" t="inlineStr">
        <is>
          <t>Low</t>
        </is>
      </c>
      <c r="K20" s="9" t="inlineStr">
        <is>
          <t>No exact SASB match for catering. Restaurants is the closest (food safety, nutrition, food waste).</t>
        </is>
      </c>
      <c r="L20" s="11">
        <f>IF(G20="Financials","Yes","No")</f>
        <v/>
      </c>
      <c r="M20" s="11">
        <f>SUMPRODUCT(('Term mapping'!$D$2:$D$68="Core")*(((COUNTIFS('Industry materiality'!$A$2:$A$169,$H20,'Industry materiality'!$C$2:$C$169,'Term mapping'!$E$2:$E$68)+COUNTIFS('Industry materiality'!$A$2:$A$169,$H20,'Industry materiality'!$C$2:$C$169,'Term mapping'!$F$2:$F$68))&gt;0)*1))</f>
        <v/>
      </c>
      <c r="N20" s="12" t="inlineStr">
        <is>
          <t>Yes</t>
        </is>
      </c>
      <c r="O20" s="12" t="n"/>
      <c r="P20" s="12" t="n"/>
    </row>
    <row r="21">
      <c r="A21" s="9" t="n">
        <v>20</v>
      </c>
      <c r="B21" s="10" t="inlineStr">
        <is>
          <t>National Industrialization Co</t>
        </is>
      </c>
      <c r="C21" s="9" t="inlineStr">
        <is>
          <t>2060</t>
        </is>
      </c>
      <c r="D21" s="9" t="inlineStr">
        <is>
          <t>Saudi Arabia</t>
        </is>
      </c>
      <c r="E21" s="9" t="inlineStr">
        <is>
          <t>Industrial</t>
        </is>
      </c>
      <c r="F21" s="11" t="inlineStr">
        <is>
          <t>No</t>
        </is>
      </c>
      <c r="G21" s="9">
        <f>IFERROR(INDEX('SASB industries'!$A$2:$A$78,MATCH(H21,'SASB industries'!$B$2:$B$78,0)),"check name")</f>
        <v/>
      </c>
      <c r="H21" s="9" t="inlineStr">
        <is>
          <t>Chemicals</t>
        </is>
      </c>
      <c r="I21" s="9" t="inlineStr">
        <is>
          <t>Petrochemicals and titanium dioxide</t>
        </is>
      </c>
      <c r="J21" s="11" t="inlineStr">
        <is>
          <t>High</t>
        </is>
      </c>
      <c r="K21" s="9" t="n"/>
      <c r="L21" s="11">
        <f>IF(G21="Financials","Yes","No")</f>
        <v/>
      </c>
      <c r="M21" s="11">
        <f>SUMPRODUCT(('Term mapping'!$D$2:$D$68="Core")*(((COUNTIFS('Industry materiality'!$A$2:$A$169,$H21,'Industry materiality'!$C$2:$C$169,'Term mapping'!$E$2:$E$68)+COUNTIFS('Industry materiality'!$A$2:$A$169,$H21,'Industry materiality'!$C$2:$C$169,'Term mapping'!$F$2:$F$68))&gt;0)*1))</f>
        <v/>
      </c>
      <c r="N21" s="12" t="inlineStr">
        <is>
          <t>Yes</t>
        </is>
      </c>
      <c r="O21" s="12" t="n"/>
      <c r="P21" s="12" t="n"/>
    </row>
    <row r="22" ht="25.5" customHeight="1">
      <c r="A22" s="9" t="n">
        <v>21</v>
      </c>
      <c r="B22" s="10" t="inlineStr">
        <is>
          <t>Rabigh Refining &amp; Petrochemical Co.</t>
        </is>
      </c>
      <c r="C22" s="9" t="inlineStr">
        <is>
          <t>2380</t>
        </is>
      </c>
      <c r="D22" s="9" t="inlineStr">
        <is>
          <t>Saudi Arabia</t>
        </is>
      </c>
      <c r="E22" s="9" t="inlineStr">
        <is>
          <t>Industrial</t>
        </is>
      </c>
      <c r="F22" s="11" t="inlineStr">
        <is>
          <t>No</t>
        </is>
      </c>
      <c r="G22" s="9">
        <f>IFERROR(INDEX('SASB industries'!$A$2:$A$78,MATCH(H22,'SASB industries'!$B$2:$B$78,0)),"check name")</f>
        <v/>
      </c>
      <c r="H22" s="9" t="inlineStr">
        <is>
          <t>Oil &amp; Gas – Refining &amp; Marketing</t>
        </is>
      </c>
      <c r="I22" s="9" t="inlineStr">
        <is>
          <t>Integrated refinery and petrochemical complex</t>
        </is>
      </c>
      <c r="J22" s="11" t="inlineStr">
        <is>
          <t>Medium</t>
        </is>
      </c>
      <c r="K22" s="9" t="inlineStr">
        <is>
          <t>Alternative: Chemicals.</t>
        </is>
      </c>
      <c r="L22" s="11">
        <f>IF(G22="Financials","Yes","No")</f>
        <v/>
      </c>
      <c r="M22" s="11">
        <f>SUMPRODUCT(('Term mapping'!$D$2:$D$68="Core")*(((COUNTIFS('Industry materiality'!$A$2:$A$169,$H22,'Industry materiality'!$C$2:$C$169,'Term mapping'!$E$2:$E$68)+COUNTIFS('Industry materiality'!$A$2:$A$169,$H22,'Industry materiality'!$C$2:$C$169,'Term mapping'!$F$2:$F$68))&gt;0)*1))</f>
        <v/>
      </c>
      <c r="N22" s="12" t="inlineStr">
        <is>
          <t>Yes</t>
        </is>
      </c>
      <c r="O22" s="12" t="n"/>
      <c r="P22" s="12" t="n"/>
    </row>
    <row r="23" ht="25.5" customHeight="1">
      <c r="A23" s="9" t="n">
        <v>22</v>
      </c>
      <c r="B23" s="10" t="inlineStr">
        <is>
          <t>Sahara International Petrochemical Co.</t>
        </is>
      </c>
      <c r="C23" s="9" t="inlineStr">
        <is>
          <t>2310</t>
        </is>
      </c>
      <c r="D23" s="9" t="inlineStr">
        <is>
          <t>Saudi Arabia</t>
        </is>
      </c>
      <c r="E23" s="9" t="inlineStr">
        <is>
          <t>Industrial</t>
        </is>
      </c>
      <c r="F23" s="11" t="inlineStr">
        <is>
          <t>No</t>
        </is>
      </c>
      <c r="G23" s="9">
        <f>IFERROR(INDEX('SASB industries'!$A$2:$A$78,MATCH(H23,'SASB industries'!$B$2:$B$78,0)),"check name")</f>
        <v/>
      </c>
      <c r="H23" s="9" t="inlineStr">
        <is>
          <t>Chemicals</t>
        </is>
      </c>
      <c r="I23" s="9" t="inlineStr">
        <is>
          <t>Petrochemicals</t>
        </is>
      </c>
      <c r="J23" s="11" t="inlineStr">
        <is>
          <t>High</t>
        </is>
      </c>
      <c r="K23" s="9" t="n"/>
      <c r="L23" s="11">
        <f>IF(G23="Financials","Yes","No")</f>
        <v/>
      </c>
      <c r="M23" s="11">
        <f>SUMPRODUCT(('Term mapping'!$D$2:$D$68="Core")*(((COUNTIFS('Industry materiality'!$A$2:$A$169,$H23,'Industry materiality'!$C$2:$C$169,'Term mapping'!$E$2:$E$68)+COUNTIFS('Industry materiality'!$A$2:$A$169,$H23,'Industry materiality'!$C$2:$C$169,'Term mapping'!$F$2:$F$68))&gt;0)*1))</f>
        <v/>
      </c>
      <c r="N23" s="12" t="inlineStr">
        <is>
          <t>Yes</t>
        </is>
      </c>
      <c r="O23" s="12" t="n"/>
      <c r="P23" s="12" t="n"/>
    </row>
    <row r="24" ht="25.5" customHeight="1">
      <c r="A24" s="9" t="n">
        <v>23</v>
      </c>
      <c r="B24" s="10" t="inlineStr">
        <is>
          <t>Mobile Telecommunications Co. Saudi Arabia (Zain)</t>
        </is>
      </c>
      <c r="C24" s="9" t="inlineStr">
        <is>
          <t>7030</t>
        </is>
      </c>
      <c r="D24" s="9" t="inlineStr">
        <is>
          <t>Saudi Arabia</t>
        </is>
      </c>
      <c r="E24" s="9" t="inlineStr">
        <is>
          <t>Communication Services</t>
        </is>
      </c>
      <c r="F24" s="11" t="inlineStr">
        <is>
          <t>No</t>
        </is>
      </c>
      <c r="G24" s="9">
        <f>IFERROR(INDEX('SASB industries'!$A$2:$A$78,MATCH(H24,'SASB industries'!$B$2:$B$78,0)),"check name")</f>
        <v/>
      </c>
      <c r="H24" s="9" t="inlineStr">
        <is>
          <t>Telecommunication Services</t>
        </is>
      </c>
      <c r="I24" s="9" t="inlineStr">
        <is>
          <t>Mobile, fixed and internet telecom operator</t>
        </is>
      </c>
      <c r="J24" s="11" t="inlineStr">
        <is>
          <t>High</t>
        </is>
      </c>
      <c r="K24" s="9" t="n"/>
      <c r="L24" s="11">
        <f>IF(G24="Financials","Yes","No")</f>
        <v/>
      </c>
      <c r="M24" s="11">
        <f>SUMPRODUCT(('Term mapping'!$D$2:$D$68="Core")*(((COUNTIFS('Industry materiality'!$A$2:$A$169,$H24,'Industry materiality'!$C$2:$C$169,'Term mapping'!$E$2:$E$68)+COUNTIFS('Industry materiality'!$A$2:$A$169,$H24,'Industry materiality'!$C$2:$C$169,'Term mapping'!$F$2:$F$68))&gt;0)*1))</f>
        <v/>
      </c>
      <c r="N24" s="12" t="inlineStr">
        <is>
          <t>Yes</t>
        </is>
      </c>
      <c r="O24" s="12" t="n"/>
      <c r="P24" s="12" t="n"/>
    </row>
    <row r="25" ht="25.5" customHeight="1">
      <c r="A25" s="9" t="n">
        <v>24</v>
      </c>
      <c r="B25" s="10" t="inlineStr">
        <is>
          <t>Jarir Marketing Co</t>
        </is>
      </c>
      <c r="C25" s="9" t="inlineStr">
        <is>
          <t>4190</t>
        </is>
      </c>
      <c r="D25" s="9" t="inlineStr">
        <is>
          <t>Saudi Arabia</t>
        </is>
      </c>
      <c r="E25" s="9" t="inlineStr">
        <is>
          <t>Consumer Discretionary</t>
        </is>
      </c>
      <c r="F25" s="11" t="inlineStr">
        <is>
          <t>No</t>
        </is>
      </c>
      <c r="G25" s="9">
        <f>IFERROR(INDEX('SASB industries'!$A$2:$A$78,MATCH(H25,'SASB industries'!$B$2:$B$78,0)),"check name")</f>
        <v/>
      </c>
      <c r="H25" s="9" t="inlineStr">
        <is>
          <t>Multiline and Specialty Retailers &amp; Distributors</t>
        </is>
      </c>
      <c r="I25" s="9" t="inlineStr">
        <is>
          <t>Retail of books, office supplies and electronics</t>
        </is>
      </c>
      <c r="J25" s="11" t="inlineStr">
        <is>
          <t>High</t>
        </is>
      </c>
      <c r="K25" s="9" t="n"/>
      <c r="L25" s="11">
        <f>IF(G25="Financials","Yes","No")</f>
        <v/>
      </c>
      <c r="M25" s="11">
        <f>SUMPRODUCT(('Term mapping'!$D$2:$D$68="Core")*(((COUNTIFS('Industry materiality'!$A$2:$A$169,$H25,'Industry materiality'!$C$2:$C$169,'Term mapping'!$E$2:$E$68)+COUNTIFS('Industry materiality'!$A$2:$A$169,$H25,'Industry materiality'!$C$2:$C$169,'Term mapping'!$F$2:$F$68))&gt;0)*1))</f>
        <v/>
      </c>
      <c r="N25" s="12" t="inlineStr">
        <is>
          <t>Yes</t>
        </is>
      </c>
      <c r="O25" s="12" t="n"/>
      <c r="P25" s="12" t="n"/>
    </row>
    <row r="26" ht="25.5" customHeight="1">
      <c r="A26" s="9" t="n">
        <v>25</v>
      </c>
      <c r="B26" s="10" t="inlineStr">
        <is>
          <t>Saudi Cement</t>
        </is>
      </c>
      <c r="C26" s="9" t="inlineStr">
        <is>
          <t>3030</t>
        </is>
      </c>
      <c r="D26" s="9" t="inlineStr">
        <is>
          <t>Saudi Arabia</t>
        </is>
      </c>
      <c r="E26" s="9" t="inlineStr">
        <is>
          <t>Industrial</t>
        </is>
      </c>
      <c r="F26" s="11" t="inlineStr">
        <is>
          <t>No</t>
        </is>
      </c>
      <c r="G26" s="9">
        <f>IFERROR(INDEX('SASB industries'!$A$2:$A$78,MATCH(H26,'SASB industries'!$B$2:$B$78,0)),"check name")</f>
        <v/>
      </c>
      <c r="H26" s="9" t="inlineStr">
        <is>
          <t>Construction Materials</t>
        </is>
      </c>
      <c r="I26" s="9" t="inlineStr">
        <is>
          <t>Cement production</t>
        </is>
      </c>
      <c r="J26" s="11" t="inlineStr">
        <is>
          <t>High</t>
        </is>
      </c>
      <c r="K26" s="9" t="n"/>
      <c r="L26" s="11">
        <f>IF(G26="Financials","Yes","No")</f>
        <v/>
      </c>
      <c r="M26" s="11">
        <f>SUMPRODUCT(('Term mapping'!$D$2:$D$68="Core")*(((COUNTIFS('Industry materiality'!$A$2:$A$169,$H26,'Industry materiality'!$C$2:$C$169,'Term mapping'!$E$2:$E$68)+COUNTIFS('Industry materiality'!$A$2:$A$169,$H26,'Industry materiality'!$C$2:$C$169,'Term mapping'!$F$2:$F$68))&gt;0)*1))</f>
        <v/>
      </c>
      <c r="N26" s="12" t="inlineStr">
        <is>
          <t>Yes</t>
        </is>
      </c>
      <c r="O26" s="12" t="n"/>
      <c r="P26" s="12" t="n"/>
    </row>
    <row r="27">
      <c r="A27" s="9" t="n">
        <v>26</v>
      </c>
      <c r="B27" s="10" t="inlineStr">
        <is>
          <t>Abdullah Al Othaim Markets</t>
        </is>
      </c>
      <c r="C27" s="9" t="inlineStr">
        <is>
          <t>4001</t>
        </is>
      </c>
      <c r="D27" s="9" t="inlineStr">
        <is>
          <t>Saudi Arabia</t>
        </is>
      </c>
      <c r="E27" s="9" t="inlineStr">
        <is>
          <t>Consumer Defensive</t>
        </is>
      </c>
      <c r="F27" s="11" t="inlineStr">
        <is>
          <t>No</t>
        </is>
      </c>
      <c r="G27" s="9">
        <f>IFERROR(INDEX('SASB industries'!$A$2:$A$78,MATCH(H27,'SASB industries'!$B$2:$B$78,0)),"check name")</f>
        <v/>
      </c>
      <c r="H27" s="9" t="inlineStr">
        <is>
          <t>Food Retailers &amp; Distributors</t>
        </is>
      </c>
      <c r="I27" s="9" t="inlineStr">
        <is>
          <t>Supermarket chain</t>
        </is>
      </c>
      <c r="J27" s="11" t="inlineStr">
        <is>
          <t>High</t>
        </is>
      </c>
      <c r="K27" s="9" t="n"/>
      <c r="L27" s="11">
        <f>IF(G27="Financials","Yes","No")</f>
        <v/>
      </c>
      <c r="M27" s="11">
        <f>SUMPRODUCT(('Term mapping'!$D$2:$D$68="Core")*(((COUNTIFS('Industry materiality'!$A$2:$A$169,$H27,'Industry materiality'!$C$2:$C$169,'Term mapping'!$E$2:$E$68)+COUNTIFS('Industry materiality'!$A$2:$A$169,$H27,'Industry materiality'!$C$2:$C$169,'Term mapping'!$F$2:$F$68))&gt;0)*1))</f>
        <v/>
      </c>
      <c r="N27" s="12" t="inlineStr">
        <is>
          <t>Yes</t>
        </is>
      </c>
      <c r="O27" s="12" t="n"/>
      <c r="P27" s="12" t="n"/>
    </row>
    <row r="28" ht="25.5" customHeight="1">
      <c r="A28" s="9" t="n">
        <v>27</v>
      </c>
      <c r="B28" s="10" t="inlineStr">
        <is>
          <t>Saudi Industrial Investment Group</t>
        </is>
      </c>
      <c r="C28" s="9" t="inlineStr">
        <is>
          <t>2250</t>
        </is>
      </c>
      <c r="D28" s="9" t="inlineStr">
        <is>
          <t>Saudi Arabia</t>
        </is>
      </c>
      <c r="E28" s="9" t="inlineStr">
        <is>
          <t>Financial Services</t>
        </is>
      </c>
      <c r="F28" s="11" t="inlineStr">
        <is>
          <t>Yes</t>
        </is>
      </c>
      <c r="G28" s="9">
        <f>IFERROR(INDEX('SASB industries'!$A$2:$A$78,MATCH(H28,'SASB industries'!$B$2:$B$78,0)),"check name")</f>
        <v/>
      </c>
      <c r="H28" s="9" t="inlineStr">
        <is>
          <t>Chemicals</t>
        </is>
      </c>
      <c r="I28" s="9" t="inlineStr">
        <is>
          <t>Holding company whose investments are petrochemical joint ventures</t>
        </is>
      </c>
      <c r="J28" s="11" t="inlineStr">
        <is>
          <t>Medium</t>
        </is>
      </c>
      <c r="K28" s="14" t="inlineStr">
        <is>
          <t>QUESTION: labelled Financial Services in the list, but the underlying business is petrochemicals.; Replaced by Bank Aljazira (1020) 2026-10-21</t>
        </is>
      </c>
      <c r="L28" s="11">
        <f>IF(G28="Financials","Yes","No")</f>
        <v/>
      </c>
      <c r="M28" s="11">
        <f>SUMPRODUCT(('Term mapping'!$D$2:$D$68="Core")*(((COUNTIFS('Industry materiality'!$A$2:$A$169,$H28,'Industry materiality'!$C$2:$C$169,'Term mapping'!$E$2:$E$68)+COUNTIFS('Industry materiality'!$A$2:$A$169,$H28,'Industry materiality'!$C$2:$C$169,'Term mapping'!$F$2:$F$68))&gt;0)*1))</f>
        <v/>
      </c>
      <c r="N28" s="12" t="inlineStr">
        <is>
          <t>Yes</t>
        </is>
      </c>
      <c r="O28" s="12" t="n"/>
      <c r="P28" s="12" t="n"/>
    </row>
    <row r="29" ht="25.5" customHeight="1">
      <c r="A29" s="9" t="n">
        <v>28</v>
      </c>
      <c r="B29" s="10" t="inlineStr">
        <is>
          <t>Abu Dhabi National Oil Company For Distribution</t>
        </is>
      </c>
      <c r="C29" s="9" t="inlineStr">
        <is>
          <t>ADNOCDIST</t>
        </is>
      </c>
      <c r="D29" s="9" t="inlineStr">
        <is>
          <t>United Arab Emirates</t>
        </is>
      </c>
      <c r="E29" s="9" t="inlineStr">
        <is>
          <t>Energy</t>
        </is>
      </c>
      <c r="F29" s="11" t="inlineStr">
        <is>
          <t>No</t>
        </is>
      </c>
      <c r="G29" s="9">
        <f>IFERROR(INDEX('SASB industries'!$A$2:$A$78,MATCH(H29,'SASB industries'!$B$2:$B$78,0)),"check name")</f>
        <v/>
      </c>
      <c r="H29" s="9" t="inlineStr">
        <is>
          <t>Oil &amp; Gas – Refining &amp; Marketing</t>
        </is>
      </c>
      <c r="I29" s="9" t="inlineStr">
        <is>
          <t>Fuel retail stations and fuel distribution</t>
        </is>
      </c>
      <c r="J29" s="11" t="inlineStr">
        <is>
          <t>High</t>
        </is>
      </c>
      <c r="K29" s="9" t="inlineStr">
        <is>
          <t>SASB includes fuel retail under Refining &amp; Marketing.</t>
        </is>
      </c>
      <c r="L29" s="11">
        <f>IF(G29="Financials","Yes","No")</f>
        <v/>
      </c>
      <c r="M29" s="11">
        <f>SUMPRODUCT(('Term mapping'!$D$2:$D$68="Core")*(((COUNTIFS('Industry materiality'!$A$2:$A$169,$H29,'Industry materiality'!$C$2:$C$169,'Term mapping'!$E$2:$E$68)+COUNTIFS('Industry materiality'!$A$2:$A$169,$H29,'Industry materiality'!$C$2:$C$169,'Term mapping'!$F$2:$F$68))&gt;0)*1))</f>
        <v/>
      </c>
      <c r="N29" s="12" t="inlineStr">
        <is>
          <t>Yes</t>
        </is>
      </c>
      <c r="O29" s="12" t="n"/>
      <c r="P29" s="12" t="n"/>
    </row>
    <row r="30" ht="25.5" customHeight="1">
      <c r="A30" s="9" t="n">
        <v>29</v>
      </c>
      <c r="B30" s="10" t="inlineStr">
        <is>
          <t>Emirates Telecom (Etisalat Group)</t>
        </is>
      </c>
      <c r="C30" s="9" t="inlineStr">
        <is>
          <t>EAND</t>
        </is>
      </c>
      <c r="D30" s="9" t="inlineStr">
        <is>
          <t>United Arab Emirates</t>
        </is>
      </c>
      <c r="E30" s="9" t="inlineStr">
        <is>
          <t>Communication Services</t>
        </is>
      </c>
      <c r="F30" s="11" t="inlineStr">
        <is>
          <t>No</t>
        </is>
      </c>
      <c r="G30" s="9">
        <f>IFERROR(INDEX('SASB industries'!$A$2:$A$78,MATCH(H30,'SASB industries'!$B$2:$B$78,0)),"check name")</f>
        <v/>
      </c>
      <c r="H30" s="9" t="inlineStr">
        <is>
          <t>Telecommunication Services</t>
        </is>
      </c>
      <c r="I30" s="9" t="inlineStr">
        <is>
          <t>Mobile, fixed and internet telecom operator</t>
        </is>
      </c>
      <c r="J30" s="11" t="inlineStr">
        <is>
          <t>High</t>
        </is>
      </c>
      <c r="K30" s="9" t="n"/>
      <c r="L30" s="11">
        <f>IF(G30="Financials","Yes","No")</f>
        <v/>
      </c>
      <c r="M30" s="11">
        <f>SUMPRODUCT(('Term mapping'!$D$2:$D$68="Core")*(((COUNTIFS('Industry materiality'!$A$2:$A$169,$H30,'Industry materiality'!$C$2:$C$169,'Term mapping'!$E$2:$E$68)+COUNTIFS('Industry materiality'!$A$2:$A$169,$H30,'Industry materiality'!$C$2:$C$169,'Term mapping'!$F$2:$F$68))&gt;0)*1))</f>
        <v/>
      </c>
      <c r="N30" s="12" t="inlineStr">
        <is>
          <t>Yes</t>
        </is>
      </c>
      <c r="O30" s="12" t="n"/>
      <c r="P30" s="12" t="n"/>
    </row>
    <row r="31" ht="25.5" customHeight="1">
      <c r="A31" s="9" t="n">
        <v>30</v>
      </c>
      <c r="B31" s="10" t="inlineStr">
        <is>
          <t>First Abu Dhabi Bank</t>
        </is>
      </c>
      <c r="C31" s="9" t="inlineStr">
        <is>
          <t>FAB</t>
        </is>
      </c>
      <c r="D31" s="9" t="inlineStr">
        <is>
          <t>United Arab Emirates</t>
        </is>
      </c>
      <c r="E31" s="9" t="inlineStr">
        <is>
          <t>Financial Services</t>
        </is>
      </c>
      <c r="F31" s="11" t="inlineStr">
        <is>
          <t>Yes</t>
        </is>
      </c>
      <c r="G31" s="9">
        <f>IFERROR(INDEX('SASB industries'!$A$2:$A$78,MATCH(H31,'SASB industries'!$B$2:$B$78,0)),"check name")</f>
        <v/>
      </c>
      <c r="H31" s="9" t="inlineStr">
        <is>
          <t>Commercial Banks</t>
        </is>
      </c>
      <c r="I31" s="9" t="inlineStr">
        <is>
          <t>Commercial bank</t>
        </is>
      </c>
      <c r="J31" s="11" t="inlineStr">
        <is>
          <t>High</t>
        </is>
      </c>
      <c r="K31" s="9" t="n"/>
      <c r="L31" s="11">
        <f>IF(G31="Financials","Yes","No")</f>
        <v/>
      </c>
      <c r="M31" s="11">
        <f>SUMPRODUCT(('Term mapping'!$D$2:$D$68="Core")*(((COUNTIFS('Industry materiality'!$A$2:$A$169,$H31,'Industry materiality'!$C$2:$C$169,'Term mapping'!$E$2:$E$68)+COUNTIFS('Industry materiality'!$A$2:$A$169,$H31,'Industry materiality'!$C$2:$C$169,'Term mapping'!$F$2:$F$68))&gt;0)*1))</f>
        <v/>
      </c>
      <c r="N31" s="12" t="inlineStr">
        <is>
          <t>Yes</t>
        </is>
      </c>
      <c r="O31" s="12" t="n"/>
      <c r="P31" s="12" t="n"/>
    </row>
    <row r="32" ht="25.5" customHeight="1">
      <c r="A32" s="9" t="n">
        <v>31</v>
      </c>
      <c r="B32" s="10" t="inlineStr">
        <is>
          <t>Abu Dhabi National Energy Company</t>
        </is>
      </c>
      <c r="C32" s="9" t="inlineStr">
        <is>
          <t>TAQA</t>
        </is>
      </c>
      <c r="D32" s="9" t="inlineStr">
        <is>
          <t>United Arab Emirates</t>
        </is>
      </c>
      <c r="E32" s="9" t="inlineStr">
        <is>
          <t>Energy</t>
        </is>
      </c>
      <c r="F32" s="11" t="inlineStr">
        <is>
          <t>No</t>
        </is>
      </c>
      <c r="G32" s="9">
        <f>IFERROR(INDEX('SASB industries'!$A$2:$A$78,MATCH(H32,'SASB industries'!$B$2:$B$78,0)),"check name")</f>
        <v/>
      </c>
      <c r="H32" s="9" t="inlineStr">
        <is>
          <t>Electric Utilities &amp; Power Generators</t>
        </is>
      </c>
      <c r="I32" s="9" t="inlineStr">
        <is>
          <t>Power and water generation, transmission and distribution; some oil and gas</t>
        </is>
      </c>
      <c r="J32" s="11" t="inlineStr">
        <is>
          <t>High</t>
        </is>
      </c>
      <c r="K32" s="9" t="n"/>
      <c r="L32" s="11">
        <f>IF(G32="Financials","Yes","No")</f>
        <v/>
      </c>
      <c r="M32" s="11">
        <f>SUMPRODUCT(('Term mapping'!$D$2:$D$68="Core")*(((COUNTIFS('Industry materiality'!$A$2:$A$169,$H32,'Industry materiality'!$C$2:$C$169,'Term mapping'!$E$2:$E$68)+COUNTIFS('Industry materiality'!$A$2:$A$169,$H32,'Industry materiality'!$C$2:$C$169,'Term mapping'!$F$2:$F$68))&gt;0)*1))</f>
        <v/>
      </c>
      <c r="N32" s="12" t="inlineStr">
        <is>
          <t>Yes</t>
        </is>
      </c>
      <c r="O32" s="12" t="n"/>
      <c r="P32" s="12" t="n"/>
    </row>
    <row r="33" ht="25.5" customHeight="1">
      <c r="A33" s="9" t="n">
        <v>32</v>
      </c>
      <c r="B33" s="10" t="inlineStr">
        <is>
          <t>Abu Dhabi Commercial Bank</t>
        </is>
      </c>
      <c r="C33" s="9" t="inlineStr">
        <is>
          <t>ADCB</t>
        </is>
      </c>
      <c r="D33" s="9" t="inlineStr">
        <is>
          <t>United Arab Emirates</t>
        </is>
      </c>
      <c r="E33" s="9" t="inlineStr">
        <is>
          <t>Financial Services</t>
        </is>
      </c>
      <c r="F33" s="11" t="inlineStr">
        <is>
          <t>Yes</t>
        </is>
      </c>
      <c r="G33" s="9">
        <f>IFERROR(INDEX('SASB industries'!$A$2:$A$78,MATCH(H33,'SASB industries'!$B$2:$B$78,0)),"check name")</f>
        <v/>
      </c>
      <c r="H33" s="9" t="inlineStr">
        <is>
          <t>Commercial Banks</t>
        </is>
      </c>
      <c r="I33" s="9" t="inlineStr">
        <is>
          <t>Commercial bank</t>
        </is>
      </c>
      <c r="J33" s="11" t="inlineStr">
        <is>
          <t>High</t>
        </is>
      </c>
      <c r="K33" s="9" t="n"/>
      <c r="L33" s="11">
        <f>IF(G33="Financials","Yes","No")</f>
        <v/>
      </c>
      <c r="M33" s="11">
        <f>SUMPRODUCT(('Term mapping'!$D$2:$D$68="Core")*(((COUNTIFS('Industry materiality'!$A$2:$A$169,$H33,'Industry materiality'!$C$2:$C$169,'Term mapping'!$E$2:$E$68)+COUNTIFS('Industry materiality'!$A$2:$A$169,$H33,'Industry materiality'!$C$2:$C$169,'Term mapping'!$F$2:$F$68))&gt;0)*1))</f>
        <v/>
      </c>
      <c r="N33" s="12" t="inlineStr">
        <is>
          <t>Yes</t>
        </is>
      </c>
      <c r="O33" s="12" t="n"/>
      <c r="P33" s="12" t="n"/>
    </row>
    <row r="34" ht="25.5" customHeight="1">
      <c r="A34" s="9" t="n">
        <v>33</v>
      </c>
      <c r="B34" s="10" t="inlineStr">
        <is>
          <t>Aldar Properties PJSC</t>
        </is>
      </c>
      <c r="C34" s="9" t="inlineStr">
        <is>
          <t>ALDAR</t>
        </is>
      </c>
      <c r="D34" s="9" t="inlineStr">
        <is>
          <t>United Arab Emirates</t>
        </is>
      </c>
      <c r="E34" s="9" t="inlineStr">
        <is>
          <t>Real Estate</t>
        </is>
      </c>
      <c r="F34" s="11" t="inlineStr">
        <is>
          <t>No</t>
        </is>
      </c>
      <c r="G34" s="9">
        <f>IFERROR(INDEX('SASB industries'!$A$2:$A$78,MATCH(H34,'SASB industries'!$B$2:$B$78,0)),"check name")</f>
        <v/>
      </c>
      <c r="H34" s="9" t="inlineStr">
        <is>
          <t>Real Estate</t>
        </is>
      </c>
      <c r="I34" s="9" t="inlineStr">
        <is>
          <t>Property development plus a large rental (investment) portfolio</t>
        </is>
      </c>
      <c r="J34" s="11" t="inlineStr">
        <is>
          <t>Medium</t>
        </is>
      </c>
      <c r="K34" s="9" t="inlineStr">
        <is>
          <t>Alternative: Home Builders.</t>
        </is>
      </c>
      <c r="L34" s="11">
        <f>IF(G34="Financials","Yes","No")</f>
        <v/>
      </c>
      <c r="M34" s="11">
        <f>SUMPRODUCT(('Term mapping'!$D$2:$D$68="Core")*(((COUNTIFS('Industry materiality'!$A$2:$A$169,$H34,'Industry materiality'!$C$2:$C$169,'Term mapping'!$E$2:$E$68)+COUNTIFS('Industry materiality'!$A$2:$A$169,$H34,'Industry materiality'!$C$2:$C$169,'Term mapping'!$F$2:$F$68))&gt;0)*1))</f>
        <v/>
      </c>
      <c r="N34" s="12" t="inlineStr">
        <is>
          <t>Yes</t>
        </is>
      </c>
      <c r="O34" s="12" t="n"/>
      <c r="P34" s="12" t="n"/>
    </row>
    <row r="35" ht="25.5" customHeight="1">
      <c r="A35" s="9" t="n">
        <v>34</v>
      </c>
      <c r="B35" s="10" t="inlineStr">
        <is>
          <t>The National Bank of Ras Al Khaimah</t>
        </is>
      </c>
      <c r="C35" s="9" t="inlineStr">
        <is>
          <t>RAKBANK</t>
        </is>
      </c>
      <c r="D35" s="9" t="inlineStr">
        <is>
          <t>United Arab Emirates</t>
        </is>
      </c>
      <c r="E35" s="9" t="inlineStr">
        <is>
          <t>Financial Services</t>
        </is>
      </c>
      <c r="F35" s="11" t="inlineStr">
        <is>
          <t>Yes</t>
        </is>
      </c>
      <c r="G35" s="9">
        <f>IFERROR(INDEX('SASB industries'!$A$2:$A$78,MATCH(H35,'SASB industries'!$B$2:$B$78,0)),"check name")</f>
        <v/>
      </c>
      <c r="H35" s="9" t="inlineStr">
        <is>
          <t>Commercial Banks</t>
        </is>
      </c>
      <c r="I35" s="9" t="inlineStr">
        <is>
          <t>Commercial bank</t>
        </is>
      </c>
      <c r="J35" s="11" t="inlineStr">
        <is>
          <t>High</t>
        </is>
      </c>
      <c r="K35" s="9" t="n"/>
      <c r="L35" s="11">
        <f>IF(G35="Financials","Yes","No")</f>
        <v/>
      </c>
      <c r="M35" s="11">
        <f>SUMPRODUCT(('Term mapping'!$D$2:$D$68="Core")*(((COUNTIFS('Industry materiality'!$A$2:$A$169,$H35,'Industry materiality'!$C$2:$C$169,'Term mapping'!$E$2:$E$68)+COUNTIFS('Industry materiality'!$A$2:$A$169,$H35,'Industry materiality'!$C$2:$C$169,'Term mapping'!$F$2:$F$68))&gt;0)*1))</f>
        <v/>
      </c>
      <c r="N35" s="12" t="inlineStr">
        <is>
          <t>Yes</t>
        </is>
      </c>
      <c r="O35" s="12" t="n"/>
      <c r="P35" s="12" t="n"/>
    </row>
    <row r="36" ht="25.5" customHeight="1">
      <c r="A36" s="9" t="n">
        <v>35</v>
      </c>
      <c r="B36" s="10" t="inlineStr">
        <is>
          <t>Emaar Properties</t>
        </is>
      </c>
      <c r="C36" s="9" t="inlineStr">
        <is>
          <t>EMAAR</t>
        </is>
      </c>
      <c r="D36" s="9" t="inlineStr">
        <is>
          <t>United Arab Emirates</t>
        </is>
      </c>
      <c r="E36" s="9" t="inlineStr">
        <is>
          <t>Real Estate</t>
        </is>
      </c>
      <c r="F36" s="11" t="inlineStr">
        <is>
          <t>No</t>
        </is>
      </c>
      <c r="G36" s="9">
        <f>IFERROR(INDEX('SASB industries'!$A$2:$A$78,MATCH(H36,'SASB industries'!$B$2:$B$78,0)),"check name")</f>
        <v/>
      </c>
      <c r="H36" s="9" t="inlineStr">
        <is>
          <t>Home Builders</t>
        </is>
      </c>
      <c r="I36" s="9" t="inlineStr">
        <is>
          <t>Master-planned residential development for sale, plus malls and hotels</t>
        </is>
      </c>
      <c r="J36" s="11" t="inlineStr">
        <is>
          <t>Medium</t>
        </is>
      </c>
      <c r="K36" s="9" t="inlineStr">
        <is>
          <t>Alternative: Real Estate.</t>
        </is>
      </c>
      <c r="L36" s="11">
        <f>IF(G36="Financials","Yes","No")</f>
        <v/>
      </c>
      <c r="M36" s="11">
        <f>SUMPRODUCT(('Term mapping'!$D$2:$D$68="Core")*(((COUNTIFS('Industry materiality'!$A$2:$A$169,$H36,'Industry materiality'!$C$2:$C$169,'Term mapping'!$E$2:$E$68)+COUNTIFS('Industry materiality'!$A$2:$A$169,$H36,'Industry materiality'!$C$2:$C$169,'Term mapping'!$F$2:$F$68))&gt;0)*1))</f>
        <v/>
      </c>
      <c r="N36" s="12" t="inlineStr">
        <is>
          <t>Yes</t>
        </is>
      </c>
      <c r="O36" s="12" t="n"/>
      <c r="P36" s="12" t="n"/>
    </row>
    <row r="37" ht="25.5" customHeight="1">
      <c r="A37" s="9" t="n">
        <v>36</v>
      </c>
      <c r="B37" s="10" t="inlineStr">
        <is>
          <t>Dubai Islamic Bank</t>
        </is>
      </c>
      <c r="C37" s="9" t="inlineStr">
        <is>
          <t>DIB</t>
        </is>
      </c>
      <c r="D37" s="9" t="inlineStr">
        <is>
          <t>United Arab Emirates</t>
        </is>
      </c>
      <c r="E37" s="9" t="inlineStr">
        <is>
          <t>Financial Services</t>
        </is>
      </c>
      <c r="F37" s="11" t="inlineStr">
        <is>
          <t>Yes</t>
        </is>
      </c>
      <c r="G37" s="9">
        <f>IFERROR(INDEX('SASB industries'!$A$2:$A$78,MATCH(H37,'SASB industries'!$B$2:$B$78,0)),"check name")</f>
        <v/>
      </c>
      <c r="H37" s="9" t="inlineStr">
        <is>
          <t>Commercial Banks</t>
        </is>
      </c>
      <c r="I37" s="9" t="inlineStr">
        <is>
          <t>Commercial bank</t>
        </is>
      </c>
      <c r="J37" s="11" t="inlineStr">
        <is>
          <t>High</t>
        </is>
      </c>
      <c r="K37" s="9" t="n"/>
      <c r="L37" s="11">
        <f>IF(G37="Financials","Yes","No")</f>
        <v/>
      </c>
      <c r="M37" s="11">
        <f>SUMPRODUCT(('Term mapping'!$D$2:$D$68="Core")*(((COUNTIFS('Industry materiality'!$A$2:$A$169,$H37,'Industry materiality'!$C$2:$C$169,'Term mapping'!$E$2:$E$68)+COUNTIFS('Industry materiality'!$A$2:$A$169,$H37,'Industry materiality'!$C$2:$C$169,'Term mapping'!$F$2:$F$68))&gt;0)*1))</f>
        <v/>
      </c>
      <c r="N37" s="12" t="inlineStr">
        <is>
          <t>Yes</t>
        </is>
      </c>
      <c r="O37" s="12" t="n"/>
      <c r="P37" s="12" t="n"/>
    </row>
    <row r="38" ht="38.25" customHeight="1">
      <c r="A38" s="9" t="n">
        <v>37</v>
      </c>
      <c r="B38" s="10" t="inlineStr">
        <is>
          <t>Dubai Investments PJSC</t>
        </is>
      </c>
      <c r="C38" s="9" t="inlineStr">
        <is>
          <t>DIC</t>
        </is>
      </c>
      <c r="D38" s="9" t="inlineStr">
        <is>
          <t>United Arab Emirates</t>
        </is>
      </c>
      <c r="E38" s="9" t="inlineStr">
        <is>
          <t>Financial Services</t>
        </is>
      </c>
      <c r="F38" s="11" t="inlineStr">
        <is>
          <t>Yes</t>
        </is>
      </c>
      <c r="G38" s="9">
        <f>IFERROR(INDEX('SASB industries'!$A$2:$A$78,MATCH(H38,'SASB industries'!$B$2:$B$78,0)),"check name")</f>
        <v/>
      </c>
      <c r="H38" s="9" t="inlineStr">
        <is>
          <t>Real Estate</t>
        </is>
      </c>
      <c r="I38" s="9" t="inlineStr">
        <is>
          <t>Diversified group: property, manufacturing and investments</t>
        </is>
      </c>
      <c r="J38" s="13" t="inlineStr">
        <is>
          <t>Low</t>
        </is>
      </c>
      <c r="K38" s="14" t="inlineStr">
        <is>
          <t>QUESTION: labelled Financial Services in the list. Property is assumed to be the largest segment; check the segment split in its annual report.</t>
        </is>
      </c>
      <c r="L38" s="11">
        <f>IF(G38="Financials","Yes","No")</f>
        <v/>
      </c>
      <c r="M38" s="11">
        <f>SUMPRODUCT(('Term mapping'!$D$2:$D$68="Core")*(((COUNTIFS('Industry materiality'!$A$2:$A$169,$H38,'Industry materiality'!$C$2:$C$169,'Term mapping'!$E$2:$E$68)+COUNTIFS('Industry materiality'!$A$2:$A$169,$H38,'Industry materiality'!$C$2:$C$169,'Term mapping'!$F$2:$F$68))&gt;0)*1))</f>
        <v/>
      </c>
      <c r="N38" s="12" t="inlineStr">
        <is>
          <t>Yes</t>
        </is>
      </c>
      <c r="O38" s="12" t="n"/>
      <c r="P38" s="12" t="n"/>
    </row>
    <row r="39" ht="25.5" customHeight="1">
      <c r="A39" s="9" t="n">
        <v>38</v>
      </c>
      <c r="B39" s="10" t="inlineStr">
        <is>
          <t>Air Arabia PJSC</t>
        </is>
      </c>
      <c r="C39" s="9" t="inlineStr">
        <is>
          <t>AIRA</t>
        </is>
      </c>
      <c r="D39" s="9" t="inlineStr">
        <is>
          <t>United Arab Emirates</t>
        </is>
      </c>
      <c r="E39" s="9" t="inlineStr">
        <is>
          <t>Consumer Discretionary</t>
        </is>
      </c>
      <c r="F39" s="11" t="inlineStr">
        <is>
          <t>No</t>
        </is>
      </c>
      <c r="G39" s="9">
        <f>IFERROR(INDEX('SASB industries'!$A$2:$A$78,MATCH(H39,'SASB industries'!$B$2:$B$78,0)),"check name")</f>
        <v/>
      </c>
      <c r="H39" s="9" t="inlineStr">
        <is>
          <t>Airlines</t>
        </is>
      </c>
      <c r="I39" s="9" t="inlineStr">
        <is>
          <t>Low-cost airline</t>
        </is>
      </c>
      <c r="J39" s="11" t="inlineStr">
        <is>
          <t>High</t>
        </is>
      </c>
      <c r="K39" s="9" t="n"/>
      <c r="L39" s="11">
        <f>IF(G39="Financials","Yes","No")</f>
        <v/>
      </c>
      <c r="M39" s="11">
        <f>SUMPRODUCT(('Term mapping'!$D$2:$D$68="Core")*(((COUNTIFS('Industry materiality'!$A$2:$A$169,$H39,'Industry materiality'!$C$2:$C$169,'Term mapping'!$E$2:$E$68)+COUNTIFS('Industry materiality'!$A$2:$A$169,$H39,'Industry materiality'!$C$2:$C$169,'Term mapping'!$F$2:$F$68))&gt;0)*1))</f>
        <v/>
      </c>
      <c r="N39" s="12" t="inlineStr">
        <is>
          <t>Yes</t>
        </is>
      </c>
      <c r="O39" s="12" t="n"/>
      <c r="P39" s="12" t="n"/>
    </row>
    <row r="40" ht="25.5" customHeight="1">
      <c r="A40" s="9" t="n">
        <v>39</v>
      </c>
      <c r="B40" s="10" t="inlineStr">
        <is>
          <t>Emirates NBD PJSC</t>
        </is>
      </c>
      <c r="C40" s="9" t="inlineStr">
        <is>
          <t>NBD</t>
        </is>
      </c>
      <c r="D40" s="9" t="inlineStr">
        <is>
          <t>United Arab Emirates</t>
        </is>
      </c>
      <c r="E40" s="9" t="inlineStr">
        <is>
          <t>Financial Services</t>
        </is>
      </c>
      <c r="F40" s="11" t="inlineStr">
        <is>
          <t>Yes</t>
        </is>
      </c>
      <c r="G40" s="9">
        <f>IFERROR(INDEX('SASB industries'!$A$2:$A$78,MATCH(H40,'SASB industries'!$B$2:$B$78,0)),"check name")</f>
        <v/>
      </c>
      <c r="H40" s="9" t="inlineStr">
        <is>
          <t>Commercial Banks</t>
        </is>
      </c>
      <c r="I40" s="9" t="inlineStr">
        <is>
          <t>Commercial bank</t>
        </is>
      </c>
      <c r="J40" s="11" t="inlineStr">
        <is>
          <t>High</t>
        </is>
      </c>
      <c r="K40" s="9" t="n"/>
      <c r="L40" s="11">
        <f>IF(G40="Financials","Yes","No")</f>
        <v/>
      </c>
      <c r="M40" s="11">
        <f>SUMPRODUCT(('Term mapping'!$D$2:$D$68="Core")*(((COUNTIFS('Industry materiality'!$A$2:$A$169,$H40,'Industry materiality'!$C$2:$C$169,'Term mapping'!$E$2:$E$68)+COUNTIFS('Industry materiality'!$A$2:$A$169,$H40,'Industry materiality'!$C$2:$C$169,'Term mapping'!$F$2:$F$68))&gt;0)*1))</f>
        <v/>
      </c>
      <c r="N40" s="12" t="inlineStr">
        <is>
          <t>Yes</t>
        </is>
      </c>
      <c r="O40" s="12" t="n"/>
      <c r="P40" s="12" t="n"/>
    </row>
    <row r="41">
      <c r="A41" s="9" t="n">
        <v>40</v>
      </c>
      <c r="B41" s="10" t="inlineStr">
        <is>
          <t>QNB (Qatar National Bank)</t>
        </is>
      </c>
      <c r="C41" s="9" t="inlineStr">
        <is>
          <t>QNBK</t>
        </is>
      </c>
      <c r="D41" s="9" t="inlineStr">
        <is>
          <t>Qatar</t>
        </is>
      </c>
      <c r="E41" s="9" t="inlineStr">
        <is>
          <t>Financial Services</t>
        </is>
      </c>
      <c r="F41" s="11" t="inlineStr">
        <is>
          <t>Yes</t>
        </is>
      </c>
      <c r="G41" s="9">
        <f>IFERROR(INDEX('SASB industries'!$A$2:$A$78,MATCH(H41,'SASB industries'!$B$2:$B$78,0)),"check name")</f>
        <v/>
      </c>
      <c r="H41" s="9" t="inlineStr">
        <is>
          <t>Commercial Banks</t>
        </is>
      </c>
      <c r="I41" s="9" t="inlineStr">
        <is>
          <t>Commercial bank</t>
        </is>
      </c>
      <c r="J41" s="11" t="inlineStr">
        <is>
          <t>High</t>
        </is>
      </c>
      <c r="K41" s="9" t="n"/>
      <c r="L41" s="11">
        <f>IF(G41="Financials","Yes","No")</f>
        <v/>
      </c>
      <c r="M41" s="11">
        <f>SUMPRODUCT(('Term mapping'!$D$2:$D$68="Core")*(((COUNTIFS('Industry materiality'!$A$2:$A$169,$H41,'Industry materiality'!$C$2:$C$169,'Term mapping'!$E$2:$E$68)+COUNTIFS('Industry materiality'!$A$2:$A$169,$H41,'Industry materiality'!$C$2:$C$169,'Term mapping'!$F$2:$F$68))&gt;0)*1))</f>
        <v/>
      </c>
      <c r="N41" s="12" t="inlineStr">
        <is>
          <t>Yes</t>
        </is>
      </c>
      <c r="O41" s="12" t="n"/>
      <c r="P41" s="12" t="n"/>
    </row>
    <row r="42" ht="25.5" customHeight="1">
      <c r="A42" s="9" t="n">
        <v>41</v>
      </c>
      <c r="B42" s="10" t="inlineStr">
        <is>
          <t>Industries Qatar</t>
        </is>
      </c>
      <c r="C42" s="9" t="inlineStr">
        <is>
          <t>IQCD</t>
        </is>
      </c>
      <c r="D42" s="9" t="inlineStr">
        <is>
          <t>Qatar</t>
        </is>
      </c>
      <c r="E42" s="9" t="inlineStr">
        <is>
          <t>Industrial</t>
        </is>
      </c>
      <c r="F42" s="11" t="inlineStr">
        <is>
          <t>No</t>
        </is>
      </c>
      <c r="G42" s="9">
        <f>IFERROR(INDEX('SASB industries'!$A$2:$A$78,MATCH(H42,'SASB industries'!$B$2:$B$78,0)),"check name")</f>
        <v/>
      </c>
      <c r="H42" s="9" t="inlineStr">
        <is>
          <t>Chemicals</t>
        </is>
      </c>
      <c r="I42" s="9" t="inlineStr">
        <is>
          <t>Petrochemicals, fertilisers and steel (holding company)</t>
        </is>
      </c>
      <c r="J42" s="11" t="inlineStr">
        <is>
          <t>Medium</t>
        </is>
      </c>
      <c r="K42" s="9" t="inlineStr">
        <is>
          <t>Alternative: Iron &amp; Steel Producers for the steel arm.</t>
        </is>
      </c>
      <c r="L42" s="11">
        <f>IF(G42="Financials","Yes","No")</f>
        <v/>
      </c>
      <c r="M42" s="11">
        <f>SUMPRODUCT(('Term mapping'!$D$2:$D$68="Core")*(((COUNTIFS('Industry materiality'!$A$2:$A$169,$H42,'Industry materiality'!$C$2:$C$169,'Term mapping'!$E$2:$E$68)+COUNTIFS('Industry materiality'!$A$2:$A$169,$H42,'Industry materiality'!$C$2:$C$169,'Term mapping'!$F$2:$F$68))&gt;0)*1))</f>
        <v/>
      </c>
      <c r="N42" s="12" t="inlineStr">
        <is>
          <t>Yes</t>
        </is>
      </c>
      <c r="O42" s="12" t="n"/>
      <c r="P42" s="12" t="n"/>
    </row>
    <row r="43" ht="25.5" customHeight="1">
      <c r="A43" s="9" t="n">
        <v>42</v>
      </c>
      <c r="B43" s="10" t="inlineStr">
        <is>
          <t>Ooredoo Q.P.S.C.</t>
        </is>
      </c>
      <c r="C43" s="9" t="inlineStr">
        <is>
          <t>ORDS</t>
        </is>
      </c>
      <c r="D43" s="9" t="inlineStr">
        <is>
          <t>Qatar</t>
        </is>
      </c>
      <c r="E43" s="9" t="inlineStr">
        <is>
          <t>Communication Services</t>
        </is>
      </c>
      <c r="F43" s="11" t="inlineStr">
        <is>
          <t>No</t>
        </is>
      </c>
      <c r="G43" s="9">
        <f>IFERROR(INDEX('SASB industries'!$A$2:$A$78,MATCH(H43,'SASB industries'!$B$2:$B$78,0)),"check name")</f>
        <v/>
      </c>
      <c r="H43" s="9" t="inlineStr">
        <is>
          <t>Telecommunication Services</t>
        </is>
      </c>
      <c r="I43" s="9" t="inlineStr">
        <is>
          <t>Mobile, fixed and internet telecom operator</t>
        </is>
      </c>
      <c r="J43" s="11" t="inlineStr">
        <is>
          <t>High</t>
        </is>
      </c>
      <c r="K43" s="9" t="n"/>
      <c r="L43" s="11">
        <f>IF(G43="Financials","Yes","No")</f>
        <v/>
      </c>
      <c r="M43" s="11">
        <f>SUMPRODUCT(('Term mapping'!$D$2:$D$68="Core")*(((COUNTIFS('Industry materiality'!$A$2:$A$169,$H43,'Industry materiality'!$C$2:$C$169,'Term mapping'!$E$2:$E$68)+COUNTIFS('Industry materiality'!$A$2:$A$169,$H43,'Industry materiality'!$C$2:$C$169,'Term mapping'!$F$2:$F$68))&gt;0)*1))</f>
        <v/>
      </c>
      <c r="N43" s="12" t="inlineStr">
        <is>
          <t>Yes</t>
        </is>
      </c>
      <c r="O43" s="12" t="n"/>
      <c r="P43" s="12" t="n"/>
    </row>
    <row r="44" ht="25.5" customHeight="1">
      <c r="A44" s="9" t="n">
        <v>43</v>
      </c>
      <c r="B44" s="10" t="inlineStr">
        <is>
          <t>Qatar Fuel Company (WOQOD)</t>
        </is>
      </c>
      <c r="C44" s="9" t="inlineStr">
        <is>
          <t>QFLS</t>
        </is>
      </c>
      <c r="D44" s="9" t="inlineStr">
        <is>
          <t>Qatar</t>
        </is>
      </c>
      <c r="E44" s="9" t="inlineStr">
        <is>
          <t>Energy</t>
        </is>
      </c>
      <c r="F44" s="11" t="inlineStr">
        <is>
          <t>No</t>
        </is>
      </c>
      <c r="G44" s="9">
        <f>IFERROR(INDEX('SASB industries'!$A$2:$A$78,MATCH(H44,'SASB industries'!$B$2:$B$78,0)),"check name")</f>
        <v/>
      </c>
      <c r="H44" s="9" t="inlineStr">
        <is>
          <t>Oil &amp; Gas – Refining &amp; Marketing</t>
        </is>
      </c>
      <c r="I44" s="9" t="inlineStr">
        <is>
          <t>Fuel distribution and retail stations</t>
        </is>
      </c>
      <c r="J44" s="11" t="inlineStr">
        <is>
          <t>High</t>
        </is>
      </c>
      <c r="K44" s="9" t="n"/>
      <c r="L44" s="11">
        <f>IF(G44="Financials","Yes","No")</f>
        <v/>
      </c>
      <c r="M44" s="11">
        <f>SUMPRODUCT(('Term mapping'!$D$2:$D$68="Core")*(((COUNTIFS('Industry materiality'!$A$2:$A$169,$H44,'Industry materiality'!$C$2:$C$169,'Term mapping'!$E$2:$E$68)+COUNTIFS('Industry materiality'!$A$2:$A$169,$H44,'Industry materiality'!$C$2:$C$169,'Term mapping'!$F$2:$F$68))&gt;0)*1))</f>
        <v/>
      </c>
      <c r="N44" s="12" t="inlineStr">
        <is>
          <t>Yes</t>
        </is>
      </c>
      <c r="O44" s="12" t="n"/>
      <c r="P44" s="12" t="n"/>
    </row>
    <row r="45">
      <c r="A45" s="9" t="n">
        <v>44</v>
      </c>
      <c r="B45" s="10" t="inlineStr">
        <is>
          <t>Baladna</t>
        </is>
      </c>
      <c r="C45" s="9" t="inlineStr">
        <is>
          <t>BLDN</t>
        </is>
      </c>
      <c r="D45" s="9" t="inlineStr">
        <is>
          <t>Qatar</t>
        </is>
      </c>
      <c r="E45" s="9" t="inlineStr">
        <is>
          <t>Consumer Defensive</t>
        </is>
      </c>
      <c r="F45" s="11" t="inlineStr">
        <is>
          <t>No</t>
        </is>
      </c>
      <c r="G45" s="9">
        <f>IFERROR(INDEX('SASB industries'!$A$2:$A$78,MATCH(H45,'SASB industries'!$B$2:$B$78,0)),"check name")</f>
        <v/>
      </c>
      <c r="H45" s="9" t="inlineStr">
        <is>
          <t>Meat, Poultry &amp; Dairy</t>
        </is>
      </c>
      <c r="I45" s="9" t="inlineStr">
        <is>
          <t>Dairy production</t>
        </is>
      </c>
      <c r="J45" s="11" t="inlineStr">
        <is>
          <t>High</t>
        </is>
      </c>
      <c r="K45" s="9" t="n"/>
      <c r="L45" s="11">
        <f>IF(G45="Financials","Yes","No")</f>
        <v/>
      </c>
      <c r="M45" s="11">
        <f>SUMPRODUCT(('Term mapping'!$D$2:$D$68="Core")*(((COUNTIFS('Industry materiality'!$A$2:$A$169,$H45,'Industry materiality'!$C$2:$C$169,'Term mapping'!$E$2:$E$68)+COUNTIFS('Industry materiality'!$A$2:$A$169,$H45,'Industry materiality'!$C$2:$C$169,'Term mapping'!$F$2:$F$68))&gt;0)*1))</f>
        <v/>
      </c>
      <c r="N45" s="12" t="inlineStr">
        <is>
          <t>Yes</t>
        </is>
      </c>
      <c r="O45" s="12" t="n"/>
      <c r="P45" s="12" t="n"/>
    </row>
    <row r="46" ht="25.5" customHeight="1">
      <c r="A46" s="9" t="n">
        <v>45</v>
      </c>
      <c r="B46" s="10" t="inlineStr">
        <is>
          <t>Gulf International Services</t>
        </is>
      </c>
      <c r="C46" s="9" t="inlineStr">
        <is>
          <t>GISS</t>
        </is>
      </c>
      <c r="D46" s="9" t="inlineStr">
        <is>
          <t>Qatar</t>
        </is>
      </c>
      <c r="E46" s="9" t="inlineStr">
        <is>
          <t>Energy</t>
        </is>
      </c>
      <c r="F46" s="11" t="inlineStr">
        <is>
          <t>No</t>
        </is>
      </c>
      <c r="G46" s="9">
        <f>IFERROR(INDEX('SASB industries'!$A$2:$A$78,MATCH(H46,'SASB industries'!$B$2:$B$78,0)),"check name")</f>
        <v/>
      </c>
      <c r="H46" s="9" t="inlineStr">
        <is>
          <t>Oil &amp; Gas – Services</t>
        </is>
      </c>
      <c r="I46" s="9" t="inlineStr">
        <is>
          <t>Drilling, helicopter services, insurance and catering</t>
        </is>
      </c>
      <c r="J46" s="11" t="inlineStr">
        <is>
          <t>Medium</t>
        </is>
      </c>
      <c r="K46" s="9" t="inlineStr">
        <is>
          <t>Drilling is assumed to be the largest segment.</t>
        </is>
      </c>
      <c r="L46" s="11">
        <f>IF(G46="Financials","Yes","No")</f>
        <v/>
      </c>
      <c r="M46" s="11">
        <f>SUMPRODUCT(('Term mapping'!$D$2:$D$68="Core")*(((COUNTIFS('Industry materiality'!$A$2:$A$169,$H46,'Industry materiality'!$C$2:$C$169,'Term mapping'!$E$2:$E$68)+COUNTIFS('Industry materiality'!$A$2:$A$169,$H46,'Industry materiality'!$C$2:$C$169,'Term mapping'!$F$2:$F$68))&gt;0)*1))</f>
        <v/>
      </c>
      <c r="N46" s="12" t="inlineStr">
        <is>
          <t>Yes</t>
        </is>
      </c>
      <c r="O46" s="12" t="n"/>
      <c r="P46" s="12" t="n"/>
    </row>
    <row r="47">
      <c r="A47" s="9" t="n">
        <v>46</v>
      </c>
      <c r="B47" s="10" t="inlineStr">
        <is>
          <t>Qatar Gas Transport Co (Nakilat)</t>
        </is>
      </c>
      <c r="C47" s="9" t="inlineStr">
        <is>
          <t>QGTS</t>
        </is>
      </c>
      <c r="D47" s="9" t="inlineStr">
        <is>
          <t>Qatar</t>
        </is>
      </c>
      <c r="E47" s="9" t="inlineStr">
        <is>
          <t>Energy</t>
        </is>
      </c>
      <c r="F47" s="11" t="inlineStr">
        <is>
          <t>No</t>
        </is>
      </c>
      <c r="G47" s="9">
        <f>IFERROR(INDEX('SASB industries'!$A$2:$A$78,MATCH(H47,'SASB industries'!$B$2:$B$78,0)),"check name")</f>
        <v/>
      </c>
      <c r="H47" s="9" t="inlineStr">
        <is>
          <t>Marine Transportation</t>
        </is>
      </c>
      <c r="I47" s="9" t="inlineStr">
        <is>
          <t>LNG shipping and ship repair</t>
        </is>
      </c>
      <c r="J47" s="11" t="inlineStr">
        <is>
          <t>Medium</t>
        </is>
      </c>
      <c r="K47" s="9" t="inlineStr">
        <is>
          <t>Alternative: Oil &amp; Gas – Midstream.</t>
        </is>
      </c>
      <c r="L47" s="11">
        <f>IF(G47="Financials","Yes","No")</f>
        <v/>
      </c>
      <c r="M47" s="11">
        <f>SUMPRODUCT(('Term mapping'!$D$2:$D$68="Core")*(((COUNTIFS('Industry materiality'!$A$2:$A$169,$H47,'Industry materiality'!$C$2:$C$169,'Term mapping'!$E$2:$E$68)+COUNTIFS('Industry materiality'!$A$2:$A$169,$H47,'Industry materiality'!$C$2:$C$169,'Term mapping'!$F$2:$F$68))&gt;0)*1))</f>
        <v/>
      </c>
      <c r="N47" s="12" t="inlineStr">
        <is>
          <t>Yes</t>
        </is>
      </c>
      <c r="O47" s="12" t="n"/>
      <c r="P47" s="12" t="n"/>
    </row>
    <row r="48">
      <c r="A48" s="9" t="n">
        <v>47</v>
      </c>
      <c r="B48" s="10" t="inlineStr">
        <is>
          <t>Kuwait Finance House</t>
        </is>
      </c>
      <c r="C48" s="9" t="inlineStr">
        <is>
          <t>KFH</t>
        </is>
      </c>
      <c r="D48" s="9" t="inlineStr">
        <is>
          <t>Kuwait</t>
        </is>
      </c>
      <c r="E48" s="9" t="inlineStr">
        <is>
          <t>Financial Services</t>
        </is>
      </c>
      <c r="F48" s="11" t="inlineStr">
        <is>
          <t>Yes</t>
        </is>
      </c>
      <c r="G48" s="9">
        <f>IFERROR(INDEX('SASB industries'!$A$2:$A$78,MATCH(H48,'SASB industries'!$B$2:$B$78,0)),"check name")</f>
        <v/>
      </c>
      <c r="H48" s="9" t="inlineStr">
        <is>
          <t>Commercial Banks</t>
        </is>
      </c>
      <c r="I48" s="9" t="inlineStr">
        <is>
          <t>Commercial bank</t>
        </is>
      </c>
      <c r="J48" s="11" t="inlineStr">
        <is>
          <t>High</t>
        </is>
      </c>
      <c r="K48" s="9" t="n"/>
      <c r="L48" s="11">
        <f>IF(G48="Financials","Yes","No")</f>
        <v/>
      </c>
      <c r="M48" s="11">
        <f>SUMPRODUCT(('Term mapping'!$D$2:$D$68="Core")*(((COUNTIFS('Industry materiality'!$A$2:$A$169,$H48,'Industry materiality'!$C$2:$C$169,'Term mapping'!$E$2:$E$68)+COUNTIFS('Industry materiality'!$A$2:$A$169,$H48,'Industry materiality'!$C$2:$C$169,'Term mapping'!$F$2:$F$68))&gt;0)*1))</f>
        <v/>
      </c>
      <c r="N48" s="12" t="inlineStr">
        <is>
          <t>Yes</t>
        </is>
      </c>
      <c r="O48" s="12" t="n"/>
      <c r="P48" s="12" t="n"/>
    </row>
    <row r="49">
      <c r="A49" s="9" t="n">
        <v>48</v>
      </c>
      <c r="B49" s="10" t="inlineStr">
        <is>
          <t>National Bank of Kuwait</t>
        </is>
      </c>
      <c r="C49" s="9" t="inlineStr">
        <is>
          <t>NBK</t>
        </is>
      </c>
      <c r="D49" s="9" t="inlineStr">
        <is>
          <t>Kuwait</t>
        </is>
      </c>
      <c r="E49" s="9" t="inlineStr">
        <is>
          <t>Financial Services</t>
        </is>
      </c>
      <c r="F49" s="11" t="inlineStr">
        <is>
          <t>Yes</t>
        </is>
      </c>
      <c r="G49" s="9">
        <f>IFERROR(INDEX('SASB industries'!$A$2:$A$78,MATCH(H49,'SASB industries'!$B$2:$B$78,0)),"check name")</f>
        <v/>
      </c>
      <c r="H49" s="9" t="inlineStr">
        <is>
          <t>Commercial Banks</t>
        </is>
      </c>
      <c r="I49" s="9" t="inlineStr">
        <is>
          <t>Commercial bank</t>
        </is>
      </c>
      <c r="J49" s="11" t="inlineStr">
        <is>
          <t>High</t>
        </is>
      </c>
      <c r="K49" s="9" t="n"/>
      <c r="L49" s="11">
        <f>IF(G49="Financials","Yes","No")</f>
        <v/>
      </c>
      <c r="M49" s="11">
        <f>SUMPRODUCT(('Term mapping'!$D$2:$D$68="Core")*(((COUNTIFS('Industry materiality'!$A$2:$A$169,$H49,'Industry materiality'!$C$2:$C$169,'Term mapping'!$E$2:$E$68)+COUNTIFS('Industry materiality'!$A$2:$A$169,$H49,'Industry materiality'!$C$2:$C$169,'Term mapping'!$F$2:$F$68))&gt;0)*1))</f>
        <v/>
      </c>
      <c r="N49" s="12" t="inlineStr">
        <is>
          <t>Yes</t>
        </is>
      </c>
      <c r="O49" s="12" t="n"/>
      <c r="P49" s="12" t="n"/>
    </row>
    <row r="50">
      <c r="A50" s="9" t="n">
        <v>49</v>
      </c>
      <c r="B50" s="10" t="inlineStr">
        <is>
          <t>Boubyan Bank</t>
        </is>
      </c>
      <c r="C50" s="9" t="inlineStr">
        <is>
          <t>BOUBYAN</t>
        </is>
      </c>
      <c r="D50" s="9" t="inlineStr">
        <is>
          <t>Kuwait</t>
        </is>
      </c>
      <c r="E50" s="9" t="inlineStr">
        <is>
          <t>Financial Services</t>
        </is>
      </c>
      <c r="F50" s="11" t="inlineStr">
        <is>
          <t>Yes</t>
        </is>
      </c>
      <c r="G50" s="9">
        <f>IFERROR(INDEX('SASB industries'!$A$2:$A$78,MATCH(H50,'SASB industries'!$B$2:$B$78,0)),"check name")</f>
        <v/>
      </c>
      <c r="H50" s="9" t="inlineStr">
        <is>
          <t>Commercial Banks</t>
        </is>
      </c>
      <c r="I50" s="9" t="inlineStr">
        <is>
          <t>Commercial bank</t>
        </is>
      </c>
      <c r="J50" s="11" t="inlineStr">
        <is>
          <t>High</t>
        </is>
      </c>
      <c r="K50" s="9" t="n"/>
      <c r="L50" s="11">
        <f>IF(G50="Financials","Yes","No")</f>
        <v/>
      </c>
      <c r="M50" s="11">
        <f>SUMPRODUCT(('Term mapping'!$D$2:$D$68="Core")*(((COUNTIFS('Industry materiality'!$A$2:$A$169,$H50,'Industry materiality'!$C$2:$C$169,'Term mapping'!$E$2:$E$68)+COUNTIFS('Industry materiality'!$A$2:$A$169,$H50,'Industry materiality'!$C$2:$C$169,'Term mapping'!$F$2:$F$68))&gt;0)*1))</f>
        <v/>
      </c>
      <c r="N50" s="12" t="inlineStr">
        <is>
          <t>Yes</t>
        </is>
      </c>
      <c r="O50" s="12" t="n"/>
      <c r="P50" s="12" t="n"/>
    </row>
    <row r="51" ht="25.5" customHeight="1">
      <c r="A51" s="9" t="n">
        <v>50</v>
      </c>
      <c r="B51" s="10" t="inlineStr">
        <is>
          <t>Zain (Mobile Telecommunications Company)</t>
        </is>
      </c>
      <c r="C51" s="9" t="inlineStr">
        <is>
          <t>ZAIN</t>
        </is>
      </c>
      <c r="D51" s="9" t="inlineStr">
        <is>
          <t>Kuwait</t>
        </is>
      </c>
      <c r="E51" s="9" t="inlineStr">
        <is>
          <t>Communication Services</t>
        </is>
      </c>
      <c r="F51" s="11" t="inlineStr">
        <is>
          <t>No</t>
        </is>
      </c>
      <c r="G51" s="9">
        <f>IFERROR(INDEX('SASB industries'!$A$2:$A$78,MATCH(H51,'SASB industries'!$B$2:$B$78,0)),"check name")</f>
        <v/>
      </c>
      <c r="H51" s="9" t="inlineStr">
        <is>
          <t>Telecommunication Services</t>
        </is>
      </c>
      <c r="I51" s="9" t="inlineStr">
        <is>
          <t>Mobile, fixed and internet telecom operator</t>
        </is>
      </c>
      <c r="J51" s="11" t="inlineStr">
        <is>
          <t>High</t>
        </is>
      </c>
      <c r="K51" s="9" t="n"/>
      <c r="L51" s="11">
        <f>IF(G51="Financials","Yes","No")</f>
        <v/>
      </c>
      <c r="M51" s="11">
        <f>SUMPRODUCT(('Term mapping'!$D$2:$D$68="Core")*(((COUNTIFS('Industry materiality'!$A$2:$A$169,$H51,'Industry materiality'!$C$2:$C$169,'Term mapping'!$E$2:$E$68)+COUNTIFS('Industry materiality'!$A$2:$A$169,$H51,'Industry materiality'!$C$2:$C$169,'Term mapping'!$F$2:$F$68))&gt;0)*1))</f>
        <v/>
      </c>
      <c r="N51" s="12" t="inlineStr">
        <is>
          <t>Yes</t>
        </is>
      </c>
      <c r="O51" s="12" t="n"/>
      <c r="P51" s="12" t="n"/>
    </row>
    <row r="52" ht="25.5" customHeight="1">
      <c r="A52" s="9" t="n">
        <v>51</v>
      </c>
      <c r="B52" s="10" t="inlineStr">
        <is>
          <t>Kuwait Telecommunications Company</t>
        </is>
      </c>
      <c r="C52" s="9" t="inlineStr">
        <is>
          <t>STC</t>
        </is>
      </c>
      <c r="D52" s="9" t="inlineStr">
        <is>
          <t>Kuwait</t>
        </is>
      </c>
      <c r="E52" s="9" t="inlineStr">
        <is>
          <t>Communication Services</t>
        </is>
      </c>
      <c r="F52" s="11" t="inlineStr">
        <is>
          <t>No</t>
        </is>
      </c>
      <c r="G52" s="9">
        <f>IFERROR(INDEX('SASB industries'!$A$2:$A$78,MATCH(H52,'SASB industries'!$B$2:$B$78,0)),"check name")</f>
        <v/>
      </c>
      <c r="H52" s="9" t="inlineStr">
        <is>
          <t>Telecommunication Services</t>
        </is>
      </c>
      <c r="I52" s="9" t="inlineStr">
        <is>
          <t>Mobile, fixed and internet telecom operator</t>
        </is>
      </c>
      <c r="J52" s="11" t="inlineStr">
        <is>
          <t>High</t>
        </is>
      </c>
      <c r="K52" s="9" t="n"/>
      <c r="L52" s="11">
        <f>IF(G52="Financials","Yes","No")</f>
        <v/>
      </c>
      <c r="M52" s="11">
        <f>SUMPRODUCT(('Term mapping'!$D$2:$D$68="Core")*(((COUNTIFS('Industry materiality'!$A$2:$A$169,$H52,'Industry materiality'!$C$2:$C$169,'Term mapping'!$E$2:$E$68)+COUNTIFS('Industry materiality'!$A$2:$A$169,$H52,'Industry materiality'!$C$2:$C$169,'Term mapping'!$F$2:$F$68))&gt;0)*1))</f>
        <v/>
      </c>
      <c r="N52" s="12" t="inlineStr">
        <is>
          <t>Yes</t>
        </is>
      </c>
      <c r="O52" s="12" t="n"/>
      <c r="P52" s="12" t="n"/>
    </row>
    <row r="53">
      <c r="A53" s="9" t="n">
        <v>52</v>
      </c>
      <c r="B53" s="10" t="inlineStr">
        <is>
          <t>Tamdeen Real Estate Company</t>
        </is>
      </c>
      <c r="C53" s="9" t="inlineStr">
        <is>
          <t>TAM</t>
        </is>
      </c>
      <c r="D53" s="9" t="inlineStr">
        <is>
          <t>Kuwait</t>
        </is>
      </c>
      <c r="E53" s="9" t="inlineStr">
        <is>
          <t>Real Estate</t>
        </is>
      </c>
      <c r="F53" s="11" t="inlineStr">
        <is>
          <t>No</t>
        </is>
      </c>
      <c r="G53" s="9">
        <f>IFERROR(INDEX('SASB industries'!$A$2:$A$78,MATCH(H53,'SASB industries'!$B$2:$B$78,0)),"check name")</f>
        <v/>
      </c>
      <c r="H53" s="9" t="inlineStr">
        <is>
          <t>Real Estate</t>
        </is>
      </c>
      <c r="I53" s="9" t="inlineStr">
        <is>
          <t>Shopping malls and property</t>
        </is>
      </c>
      <c r="J53" s="11" t="inlineStr">
        <is>
          <t>Medium</t>
        </is>
      </c>
      <c r="K53" s="9" t="n"/>
      <c r="L53" s="11">
        <f>IF(G53="Financials","Yes","No")</f>
        <v/>
      </c>
      <c r="M53" s="11">
        <f>SUMPRODUCT(('Term mapping'!$D$2:$D$68="Core")*(((COUNTIFS('Industry materiality'!$A$2:$A$169,$H53,'Industry materiality'!$C$2:$C$169,'Term mapping'!$E$2:$E$68)+COUNTIFS('Industry materiality'!$A$2:$A$169,$H53,'Industry materiality'!$C$2:$C$169,'Term mapping'!$F$2:$F$68))&gt;0)*1))</f>
        <v/>
      </c>
      <c r="N53" s="12" t="inlineStr">
        <is>
          <t>Yes</t>
        </is>
      </c>
      <c r="O53" s="12" t="n"/>
      <c r="P53" s="12" t="n"/>
    </row>
    <row r="54">
      <c r="A54" s="9" t="n">
        <v>53</v>
      </c>
      <c r="B54" s="10" t="inlineStr">
        <is>
          <t>Bank Muscat BKMB</t>
        </is>
      </c>
      <c r="C54" s="9" t="inlineStr">
        <is>
          <t>BKMB</t>
        </is>
      </c>
      <c r="D54" s="9" t="inlineStr">
        <is>
          <t>Oman</t>
        </is>
      </c>
      <c r="E54" s="9" t="inlineStr">
        <is>
          <t>Financial Services</t>
        </is>
      </c>
      <c r="F54" s="11" t="inlineStr">
        <is>
          <t>Yes</t>
        </is>
      </c>
      <c r="G54" s="9">
        <f>IFERROR(INDEX('SASB industries'!$A$2:$A$78,MATCH(H54,'SASB industries'!$B$2:$B$78,0)),"check name")</f>
        <v/>
      </c>
      <c r="H54" s="9" t="inlineStr">
        <is>
          <t>Commercial Banks</t>
        </is>
      </c>
      <c r="I54" s="9" t="inlineStr">
        <is>
          <t>Commercial bank</t>
        </is>
      </c>
      <c r="J54" s="11" t="inlineStr">
        <is>
          <t>High</t>
        </is>
      </c>
      <c r="K54" s="9" t="n"/>
      <c r="L54" s="11">
        <f>IF(G54="Financials","Yes","No")</f>
        <v/>
      </c>
      <c r="M54" s="11">
        <f>SUMPRODUCT(('Term mapping'!$D$2:$D$68="Core")*(((COUNTIFS('Industry materiality'!$A$2:$A$169,$H54,'Industry materiality'!$C$2:$C$169,'Term mapping'!$E$2:$E$68)+COUNTIFS('Industry materiality'!$A$2:$A$169,$H54,'Industry materiality'!$C$2:$C$169,'Term mapping'!$F$2:$F$68))&gt;0)*1))</f>
        <v/>
      </c>
      <c r="N54" s="12" t="inlineStr">
        <is>
          <t>Yes</t>
        </is>
      </c>
      <c r="O54" s="12" t="n"/>
      <c r="P54" s="12" t="n"/>
    </row>
    <row r="55" ht="25.5" customHeight="1">
      <c r="A55" s="9" t="n">
        <v>54</v>
      </c>
      <c r="B55" s="10" t="inlineStr">
        <is>
          <t>Oman Telecommunications Company OTEL</t>
        </is>
      </c>
      <c r="C55" s="9" t="inlineStr">
        <is>
          <t>OTEL</t>
        </is>
      </c>
      <c r="D55" s="9" t="inlineStr">
        <is>
          <t>Oman</t>
        </is>
      </c>
      <c r="E55" s="9" t="inlineStr">
        <is>
          <t>Communication Services</t>
        </is>
      </c>
      <c r="F55" s="11" t="inlineStr">
        <is>
          <t>No</t>
        </is>
      </c>
      <c r="G55" s="9">
        <f>IFERROR(INDEX('SASB industries'!$A$2:$A$78,MATCH(H55,'SASB industries'!$B$2:$B$78,0)),"check name")</f>
        <v/>
      </c>
      <c r="H55" s="9" t="inlineStr">
        <is>
          <t>Telecommunication Services</t>
        </is>
      </c>
      <c r="I55" s="9" t="inlineStr">
        <is>
          <t>Mobile, fixed and internet telecom operator</t>
        </is>
      </c>
      <c r="J55" s="11" t="inlineStr">
        <is>
          <t>High</t>
        </is>
      </c>
      <c r="K55" s="9" t="n"/>
      <c r="L55" s="11">
        <f>IF(G55="Financials","Yes","No")</f>
        <v/>
      </c>
      <c r="M55" s="11">
        <f>SUMPRODUCT(('Term mapping'!$D$2:$D$68="Core")*(((COUNTIFS('Industry materiality'!$A$2:$A$169,$H55,'Industry materiality'!$C$2:$C$169,'Term mapping'!$E$2:$E$68)+COUNTIFS('Industry materiality'!$A$2:$A$169,$H55,'Industry materiality'!$C$2:$C$169,'Term mapping'!$F$2:$F$68))&gt;0)*1))</f>
        <v/>
      </c>
      <c r="N55" s="12" t="inlineStr">
        <is>
          <t>Yes</t>
        </is>
      </c>
      <c r="O55" s="12" t="n"/>
      <c r="P55" s="12" t="n"/>
    </row>
    <row r="56" ht="25.5" customHeight="1">
      <c r="A56" s="9" t="n">
        <v>55</v>
      </c>
      <c r="B56" s="10" t="inlineStr">
        <is>
          <t>Oman International Development and Investment Company</t>
        </is>
      </c>
      <c r="C56" s="9" t="inlineStr">
        <is>
          <t>OMVS</t>
        </is>
      </c>
      <c r="D56" s="9" t="inlineStr">
        <is>
          <t>Oman</t>
        </is>
      </c>
      <c r="E56" s="9" t="inlineStr">
        <is>
          <t>Financial Services</t>
        </is>
      </c>
      <c r="F56" s="11" t="inlineStr">
        <is>
          <t>Yes</t>
        </is>
      </c>
      <c r="G56" s="9">
        <f>IFERROR(INDEX('SASB industries'!$A$2:$A$78,MATCH(H56,'SASB industries'!$B$2:$B$78,0)),"check name")</f>
        <v/>
      </c>
      <c r="H56" s="9" t="inlineStr">
        <is>
          <t>Asset Management &amp; Custody Activities</t>
        </is>
      </c>
      <c r="I56" s="9" t="inlineStr">
        <is>
          <t>Investment holding company with stakes in banking, insurance and other businesses</t>
        </is>
      </c>
      <c r="J56" s="13" t="inlineStr">
        <is>
          <t>Low</t>
        </is>
      </c>
      <c r="K56" s="9" t="inlineStr">
        <is>
          <t>No exact SASB match for an investment holding company.</t>
        </is>
      </c>
      <c r="L56" s="11">
        <f>IF(G56="Financials","Yes","No")</f>
        <v/>
      </c>
      <c r="M56" s="11">
        <f>SUMPRODUCT(('Term mapping'!$D$2:$D$68="Core")*(((COUNTIFS('Industry materiality'!$A$2:$A$169,$H56,'Industry materiality'!$C$2:$C$169,'Term mapping'!$E$2:$E$68)+COUNTIFS('Industry materiality'!$A$2:$A$169,$H56,'Industry materiality'!$C$2:$C$169,'Term mapping'!$F$2:$F$68))&gt;0)*1))</f>
        <v/>
      </c>
      <c r="N56" s="12" t="inlineStr">
        <is>
          <t>Yes</t>
        </is>
      </c>
      <c r="O56" s="12" t="n"/>
      <c r="P56" s="12" t="n"/>
    </row>
    <row r="57">
      <c r="A57" s="9" t="n">
        <v>56</v>
      </c>
      <c r="B57" s="10" t="inlineStr">
        <is>
          <t>Sohar International Bank</t>
        </is>
      </c>
      <c r="C57" s="9" t="inlineStr">
        <is>
          <t>BKSB</t>
        </is>
      </c>
      <c r="D57" s="9" t="inlineStr">
        <is>
          <t>Oman</t>
        </is>
      </c>
      <c r="E57" s="9" t="inlineStr">
        <is>
          <t>Financial Services</t>
        </is>
      </c>
      <c r="F57" s="11" t="inlineStr">
        <is>
          <t>Yes</t>
        </is>
      </c>
      <c r="G57" s="9">
        <f>IFERROR(INDEX('SASB industries'!$A$2:$A$78,MATCH(H57,'SASB industries'!$B$2:$B$78,0)),"check name")</f>
        <v/>
      </c>
      <c r="H57" s="9" t="inlineStr">
        <is>
          <t>Commercial Banks</t>
        </is>
      </c>
      <c r="I57" s="9" t="inlineStr">
        <is>
          <t>Commercial bank</t>
        </is>
      </c>
      <c r="J57" s="11" t="inlineStr">
        <is>
          <t>High</t>
        </is>
      </c>
      <c r="K57" s="9" t="n"/>
      <c r="L57" s="11">
        <f>IF(G57="Financials","Yes","No")</f>
        <v/>
      </c>
      <c r="M57" s="11">
        <f>SUMPRODUCT(('Term mapping'!$D$2:$D$68="Core")*(((COUNTIFS('Industry materiality'!$A$2:$A$169,$H57,'Industry materiality'!$C$2:$C$169,'Term mapping'!$E$2:$E$68)+COUNTIFS('Industry materiality'!$A$2:$A$169,$H57,'Industry materiality'!$C$2:$C$169,'Term mapping'!$F$2:$F$68))&gt;0)*1))</f>
        <v/>
      </c>
      <c r="N57" s="12" t="inlineStr">
        <is>
          <t>Yes</t>
        </is>
      </c>
      <c r="O57" s="12" t="n"/>
      <c r="P57" s="12" t="n"/>
    </row>
    <row r="58">
      <c r="A58" s="9" t="n">
        <v>57</v>
      </c>
      <c r="B58" s="10" t="inlineStr">
        <is>
          <t>Bank Dhofar</t>
        </is>
      </c>
      <c r="C58" s="9" t="inlineStr">
        <is>
          <t>BKDB</t>
        </is>
      </c>
      <c r="D58" s="9" t="inlineStr">
        <is>
          <t>Oman</t>
        </is>
      </c>
      <c r="E58" s="9" t="inlineStr">
        <is>
          <t>Financial Services</t>
        </is>
      </c>
      <c r="F58" s="11" t="inlineStr">
        <is>
          <t>Yes</t>
        </is>
      </c>
      <c r="G58" s="9">
        <f>IFERROR(INDEX('SASB industries'!$A$2:$A$78,MATCH(H58,'SASB industries'!$B$2:$B$78,0)),"check name")</f>
        <v/>
      </c>
      <c r="H58" s="9" t="inlineStr">
        <is>
          <t>Commercial Banks</t>
        </is>
      </c>
      <c r="I58" s="9" t="inlineStr">
        <is>
          <t>Commercial bank</t>
        </is>
      </c>
      <c r="J58" s="11" t="inlineStr">
        <is>
          <t>High</t>
        </is>
      </c>
      <c r="K58" s="9" t="n"/>
      <c r="L58" s="11">
        <f>IF(G58="Financials","Yes","No")</f>
        <v/>
      </c>
      <c r="M58" s="11">
        <f>SUMPRODUCT(('Term mapping'!$D$2:$D$68="Core")*(((COUNTIFS('Industry materiality'!$A$2:$A$169,$H58,'Industry materiality'!$C$2:$C$169,'Term mapping'!$E$2:$E$68)+COUNTIFS('Industry materiality'!$A$2:$A$169,$H58,'Industry materiality'!$C$2:$C$169,'Term mapping'!$F$2:$F$68))&gt;0)*1))</f>
        <v/>
      </c>
      <c r="N58" s="12" t="inlineStr">
        <is>
          <t>Yes</t>
        </is>
      </c>
      <c r="O58" s="12" t="n"/>
      <c r="P58" s="12" t="n"/>
    </row>
    <row r="59">
      <c r="A59" s="9" t="n">
        <v>58</v>
      </c>
      <c r="B59" s="10" t="inlineStr">
        <is>
          <t>National Bank of Bahrain</t>
        </is>
      </c>
      <c r="C59" s="9" t="inlineStr">
        <is>
          <t>NBB</t>
        </is>
      </c>
      <c r="D59" s="9" t="inlineStr">
        <is>
          <t>Bahrain</t>
        </is>
      </c>
      <c r="E59" s="9" t="inlineStr">
        <is>
          <t>Financial Services</t>
        </is>
      </c>
      <c r="F59" s="11" t="inlineStr">
        <is>
          <t>Yes</t>
        </is>
      </c>
      <c r="G59" s="9">
        <f>IFERROR(INDEX('SASB industries'!$A$2:$A$78,MATCH(H59,'SASB industries'!$B$2:$B$78,0)),"check name")</f>
        <v/>
      </c>
      <c r="H59" s="9" t="inlineStr">
        <is>
          <t>Commercial Banks</t>
        </is>
      </c>
      <c r="I59" s="9" t="inlineStr">
        <is>
          <t>Commercial bank</t>
        </is>
      </c>
      <c r="J59" s="11" t="inlineStr">
        <is>
          <t>High</t>
        </is>
      </c>
      <c r="K59" s="9" t="n"/>
      <c r="L59" s="11">
        <f>IF(G59="Financials","Yes","No")</f>
        <v/>
      </c>
      <c r="M59" s="11">
        <f>SUMPRODUCT(('Term mapping'!$D$2:$D$68="Core")*(((COUNTIFS('Industry materiality'!$A$2:$A$169,$H59,'Industry materiality'!$C$2:$C$169,'Term mapping'!$E$2:$E$68)+COUNTIFS('Industry materiality'!$A$2:$A$169,$H59,'Industry materiality'!$C$2:$C$169,'Term mapping'!$F$2:$F$68))&gt;0)*1))</f>
        <v/>
      </c>
      <c r="N59" s="12" t="inlineStr">
        <is>
          <t>Yes</t>
        </is>
      </c>
      <c r="O59" s="12" t="n"/>
      <c r="P59" s="12" t="n"/>
    </row>
    <row r="60" ht="25.5" customHeight="1">
      <c r="A60" s="9" t="n">
        <v>59</v>
      </c>
      <c r="B60" s="10" t="inlineStr">
        <is>
          <t>Bahrain Telecommunications BEYON</t>
        </is>
      </c>
      <c r="C60" s="9" t="inlineStr">
        <is>
          <t>BEYON</t>
        </is>
      </c>
      <c r="D60" s="9" t="inlineStr">
        <is>
          <t>Bahrain</t>
        </is>
      </c>
      <c r="E60" s="9" t="inlineStr">
        <is>
          <t>Communication Services</t>
        </is>
      </c>
      <c r="F60" s="11" t="inlineStr">
        <is>
          <t>No</t>
        </is>
      </c>
      <c r="G60" s="9">
        <f>IFERROR(INDEX('SASB industries'!$A$2:$A$78,MATCH(H60,'SASB industries'!$B$2:$B$78,0)),"check name")</f>
        <v/>
      </c>
      <c r="H60" s="9" t="inlineStr">
        <is>
          <t>Telecommunication Services</t>
        </is>
      </c>
      <c r="I60" s="9" t="inlineStr">
        <is>
          <t>Mobile, fixed and internet telecom operator</t>
        </is>
      </c>
      <c r="J60" s="11" t="inlineStr">
        <is>
          <t>High</t>
        </is>
      </c>
      <c r="K60" s="9" t="n"/>
      <c r="L60" s="11">
        <f>IF(G60="Financials","Yes","No")</f>
        <v/>
      </c>
      <c r="M60" s="11">
        <f>SUMPRODUCT(('Term mapping'!$D$2:$D$68="Core")*(((COUNTIFS('Industry materiality'!$A$2:$A$169,$H60,'Industry materiality'!$C$2:$C$169,'Term mapping'!$E$2:$E$68)+COUNTIFS('Industry materiality'!$A$2:$A$169,$H60,'Industry materiality'!$C$2:$C$169,'Term mapping'!$F$2:$F$68))&gt;0)*1))</f>
        <v/>
      </c>
      <c r="N60" s="12" t="inlineStr">
        <is>
          <t>Yes</t>
        </is>
      </c>
      <c r="O60" s="12" t="n"/>
      <c r="P60" s="12" t="n"/>
    </row>
    <row r="61" ht="25.5" customHeight="1">
      <c r="A61" s="9" t="n">
        <v>60</v>
      </c>
      <c r="B61" s="10" t="inlineStr">
        <is>
          <t>Aluminium Bahrain (Alba)</t>
        </is>
      </c>
      <c r="C61" s="9" t="inlineStr">
        <is>
          <t>ALBH</t>
        </is>
      </c>
      <c r="D61" s="9" t="inlineStr">
        <is>
          <t>Bahrain</t>
        </is>
      </c>
      <c r="E61" s="9" t="inlineStr">
        <is>
          <t>Industrial</t>
        </is>
      </c>
      <c r="F61" s="11" t="inlineStr">
        <is>
          <t>No</t>
        </is>
      </c>
      <c r="G61" s="9">
        <f>IFERROR(INDEX('SASB industries'!$A$2:$A$78,MATCH(H61,'SASB industries'!$B$2:$B$78,0)),"check name")</f>
        <v/>
      </c>
      <c r="H61" s="9" t="inlineStr">
        <is>
          <t>Metals &amp; Mining</t>
        </is>
      </c>
      <c r="I61" s="9" t="inlineStr">
        <is>
          <t>Aluminium smelting</t>
        </is>
      </c>
      <c r="J61" s="11" t="inlineStr">
        <is>
          <t>Medium</t>
        </is>
      </c>
      <c r="K61" s="9" t="inlineStr">
        <is>
          <t>SASB's Metals &amp; Mining covers smelting. Verify.</t>
        </is>
      </c>
      <c r="L61" s="11">
        <f>IF(G61="Financials","Yes","No")</f>
        <v/>
      </c>
      <c r="M61" s="11">
        <f>SUMPRODUCT(('Term mapping'!$D$2:$D$68="Core")*(((COUNTIFS('Industry materiality'!$A$2:$A$169,$H61,'Industry materiality'!$C$2:$C$169,'Term mapping'!$E$2:$E$68)+COUNTIFS('Industry materiality'!$A$2:$A$169,$H61,'Industry materiality'!$C$2:$C$169,'Term mapping'!$F$2:$F$68))&gt;0)*1))</f>
        <v/>
      </c>
      <c r="N61" s="12" t="inlineStr">
        <is>
          <t>Yes</t>
        </is>
      </c>
      <c r="O61" s="12" t="n"/>
      <c r="P61" s="12" t="n"/>
    </row>
    <row r="62">
      <c r="A62" s="9" t="n">
        <v>61</v>
      </c>
      <c r="B62" s="10" t="inlineStr">
        <is>
          <t>Gulf Hotels Group</t>
        </is>
      </c>
      <c r="C62" s="9" t="inlineStr">
        <is>
          <t>GHG</t>
        </is>
      </c>
      <c r="D62" s="9" t="inlineStr">
        <is>
          <t>Bahrain</t>
        </is>
      </c>
      <c r="E62" s="14" t="inlineStr">
        <is>
          <t>(not given)</t>
        </is>
      </c>
      <c r="F62" s="11" t="inlineStr">
        <is>
          <t>No</t>
        </is>
      </c>
      <c r="G62" s="9">
        <f>IFERROR(INDEX('SASB industries'!$A$2:$A$78,MATCH(H62,'SASB industries'!$B$2:$B$78,0)),"check name")</f>
        <v/>
      </c>
      <c r="H62" s="9" t="inlineStr">
        <is>
          <t>Hotels &amp; Lodging</t>
        </is>
      </c>
      <c r="I62" s="9" t="inlineStr">
        <is>
          <t>Hotels, catering and hospitality</t>
        </is>
      </c>
      <c r="J62" s="11" t="inlineStr">
        <is>
          <t>High</t>
        </is>
      </c>
      <c r="K62" s="9" t="n"/>
      <c r="L62" s="11">
        <f>IF(G62="Financials","Yes","No")</f>
        <v/>
      </c>
      <c r="M62" s="11">
        <f>SUMPRODUCT(('Term mapping'!$D$2:$D$68="Core")*(((COUNTIFS('Industry materiality'!$A$2:$A$169,$H62,'Industry materiality'!$C$2:$C$169,'Term mapping'!$E$2:$E$68)+COUNTIFS('Industry materiality'!$A$2:$A$169,$H62,'Industry materiality'!$C$2:$C$169,'Term mapping'!$F$2:$F$68))&gt;0)*1))</f>
        <v/>
      </c>
      <c r="N62" s="12" t="inlineStr">
        <is>
          <t>Yes</t>
        </is>
      </c>
      <c r="O62" s="12" t="n"/>
      <c r="P62" s="12" t="n"/>
    </row>
    <row r="63" ht="25.5" customHeight="1">
      <c r="A63" s="9" t="n">
        <v>62</v>
      </c>
      <c r="B63" s="10" t="inlineStr">
        <is>
          <t>Jazeera Steel</t>
        </is>
      </c>
      <c r="C63" s="9" t="inlineStr">
        <is>
          <t>ATMI</t>
        </is>
      </c>
      <c r="D63" s="9" t="inlineStr">
        <is>
          <t>Oman</t>
        </is>
      </c>
      <c r="E63" s="14" t="inlineStr">
        <is>
          <t>(not given)</t>
        </is>
      </c>
      <c r="F63" s="11" t="inlineStr">
        <is>
          <t>No</t>
        </is>
      </c>
      <c r="G63" s="9">
        <f>IFERROR(INDEX('SASB industries'!$A$2:$A$78,MATCH(H63,'SASB industries'!$B$2:$B$78,0)),"check name")</f>
        <v/>
      </c>
      <c r="H63" s="9" t="inlineStr">
        <is>
          <t>Iron &amp; Steel Producers</t>
        </is>
      </c>
      <c r="I63" s="9" t="inlineStr">
        <is>
          <t>Steel pipes and structural sections</t>
        </is>
      </c>
      <c r="J63" s="11" t="inlineStr">
        <is>
          <t>Medium</t>
        </is>
      </c>
      <c r="K63" s="9" t="n"/>
      <c r="L63" s="11">
        <f>IF(G63="Financials","Yes","No")</f>
        <v/>
      </c>
      <c r="M63" s="11">
        <f>SUMPRODUCT(('Term mapping'!$D$2:$D$68="Core")*(((COUNTIFS('Industry materiality'!$A$2:$A$169,$H63,'Industry materiality'!$C$2:$C$169,'Term mapping'!$E$2:$E$68)+COUNTIFS('Industry materiality'!$A$2:$A$169,$H63,'Industry materiality'!$C$2:$C$169,'Term mapping'!$F$2:$F$68))&gt;0)*1))</f>
        <v/>
      </c>
      <c r="N63" s="12" t="inlineStr">
        <is>
          <t>Yes</t>
        </is>
      </c>
      <c r="O63" s="12" t="n"/>
      <c r="P63" s="12" t="n"/>
    </row>
    <row r="64" ht="25.5" customHeight="1">
      <c r="A64" s="9" t="n">
        <v>63</v>
      </c>
      <c r="B64" s="10" t="inlineStr">
        <is>
          <t>Salam International Investment</t>
        </is>
      </c>
      <c r="C64" s="9" t="inlineStr">
        <is>
          <t>SIIS</t>
        </is>
      </c>
      <c r="D64" s="9" t="inlineStr">
        <is>
          <t>Qatar</t>
        </is>
      </c>
      <c r="E64" s="14" t="inlineStr">
        <is>
          <t>(not given)</t>
        </is>
      </c>
      <c r="F64" s="11" t="inlineStr">
        <is>
          <t>No</t>
        </is>
      </c>
      <c r="G64" s="9">
        <f>IFERROR(INDEX('SASB industries'!$A$2:$A$78,MATCH(H64,'SASB industries'!$B$2:$B$78,0)),"check name")</f>
        <v/>
      </c>
      <c r="H64" s="9" t="inlineStr">
        <is>
          <t>Real Estate</t>
        </is>
      </c>
      <c r="I64" s="9" t="inlineStr">
        <is>
          <t>Diversified group: construction, property, consumer retail and energy services</t>
        </is>
      </c>
      <c r="J64" s="13" t="inlineStr">
        <is>
          <t>Low</t>
        </is>
      </c>
      <c r="K64" s="14" t="inlineStr">
        <is>
          <t>QUESTION: no single dominant business. Check the segment split in its annual report.</t>
        </is>
      </c>
      <c r="L64" s="11">
        <f>IF(G64="Financials","Yes","No")</f>
        <v/>
      </c>
      <c r="M64" s="11">
        <f>SUMPRODUCT(('Term mapping'!$D$2:$D$68="Core")*(((COUNTIFS('Industry materiality'!$A$2:$A$169,$H64,'Industry materiality'!$C$2:$C$169,'Term mapping'!$E$2:$E$68)+COUNTIFS('Industry materiality'!$A$2:$A$169,$H64,'Industry materiality'!$C$2:$C$169,'Term mapping'!$F$2:$F$68))&gt;0)*1))</f>
        <v/>
      </c>
      <c r="N64" s="12" t="inlineStr">
        <is>
          <t>Yes</t>
        </is>
      </c>
      <c r="O64" s="12" t="n"/>
      <c r="P64" s="12" t="n"/>
    </row>
    <row r="65">
      <c r="A65" s="9" t="n">
        <v>64</v>
      </c>
      <c r="B65" s="10" t="inlineStr">
        <is>
          <t>Barwa Real Estate</t>
        </is>
      </c>
      <c r="C65" s="9" t="inlineStr">
        <is>
          <t>BRES</t>
        </is>
      </c>
      <c r="D65" s="9" t="inlineStr">
        <is>
          <t>Qatar</t>
        </is>
      </c>
      <c r="E65" s="14" t="inlineStr">
        <is>
          <t>(not given)</t>
        </is>
      </c>
      <c r="F65" s="11" t="inlineStr">
        <is>
          <t>No</t>
        </is>
      </c>
      <c r="G65" s="9">
        <f>IFERROR(INDEX('SASB industries'!$A$2:$A$78,MATCH(H65,'SASB industries'!$B$2:$B$78,0)),"check name")</f>
        <v/>
      </c>
      <c r="H65" s="9" t="inlineStr">
        <is>
          <t>Real Estate</t>
        </is>
      </c>
      <c r="I65" s="9" t="inlineStr">
        <is>
          <t>Property development and a large rental portfolio</t>
        </is>
      </c>
      <c r="J65" s="11" t="inlineStr">
        <is>
          <t>Medium</t>
        </is>
      </c>
      <c r="K65" s="9" t="n"/>
      <c r="L65" s="11">
        <f>IF(G65="Financials","Yes","No")</f>
        <v/>
      </c>
      <c r="M65" s="11">
        <f>SUMPRODUCT(('Term mapping'!$D$2:$D$68="Core")*(((COUNTIFS('Industry materiality'!$A$2:$A$169,$H65,'Industry materiality'!$C$2:$C$169,'Term mapping'!$E$2:$E$68)+COUNTIFS('Industry materiality'!$A$2:$A$169,$H65,'Industry materiality'!$C$2:$C$169,'Term mapping'!$F$2:$F$68))&gt;0)*1))</f>
        <v/>
      </c>
      <c r="N65" s="12" t="inlineStr">
        <is>
          <t>Yes</t>
        </is>
      </c>
      <c r="O65" s="12" t="n"/>
      <c r="P65" s="12" t="n"/>
    </row>
    <row r="66">
      <c r="A66" s="9" t="n">
        <v>65</v>
      </c>
      <c r="B66" s="10" t="inlineStr">
        <is>
          <t>Jazeera Airways</t>
        </is>
      </c>
      <c r="C66" s="9" t="inlineStr">
        <is>
          <t>JAZEERA</t>
        </is>
      </c>
      <c r="D66" s="9" t="inlineStr">
        <is>
          <t>Kuwait</t>
        </is>
      </c>
      <c r="E66" s="14" t="inlineStr">
        <is>
          <t>(not given)</t>
        </is>
      </c>
      <c r="F66" s="11" t="inlineStr">
        <is>
          <t>No</t>
        </is>
      </c>
      <c r="G66" s="9">
        <f>IFERROR(INDEX('SASB industries'!$A$2:$A$78,MATCH(H66,'SASB industries'!$B$2:$B$78,0)),"check name")</f>
        <v/>
      </c>
      <c r="H66" s="9" t="inlineStr">
        <is>
          <t>Airlines</t>
        </is>
      </c>
      <c r="I66" s="9" t="inlineStr">
        <is>
          <t>Low-cost airline</t>
        </is>
      </c>
      <c r="J66" s="11" t="inlineStr">
        <is>
          <t>High</t>
        </is>
      </c>
      <c r="K66" s="9" t="n"/>
      <c r="L66" s="11">
        <f>IF(G66="Financials","Yes","No")</f>
        <v/>
      </c>
      <c r="M66" s="11">
        <f>SUMPRODUCT(('Term mapping'!$D$2:$D$68="Core")*(((COUNTIFS('Industry materiality'!$A$2:$A$169,$H66,'Industry materiality'!$C$2:$C$169,'Term mapping'!$E$2:$E$68)+COUNTIFS('Industry materiality'!$A$2:$A$169,$H66,'Industry materiality'!$C$2:$C$169,'Term mapping'!$F$2:$F$68))&gt;0)*1))</f>
        <v/>
      </c>
      <c r="N66" s="12" t="inlineStr">
        <is>
          <t>Yes</t>
        </is>
      </c>
      <c r="O66" s="12" t="n"/>
      <c r="P66" s="12" t="n"/>
    </row>
    <row r="67">
      <c r="A67" t="n">
        <v>28</v>
      </c>
      <c r="B67" t="inlineStr">
        <is>
          <t>Bank Aljazira</t>
        </is>
      </c>
      <c r="C67" t="inlineStr">
        <is>
          <t>1020</t>
        </is>
      </c>
      <c r="D67" t="inlineStr">
        <is>
          <t>Saudi Arabia</t>
        </is>
      </c>
      <c r="E67" t="inlineStr">
        <is>
          <t>Financial Services</t>
        </is>
      </c>
      <c r="F67" t="inlineStr">
        <is>
          <t>Yes</t>
        </is>
      </c>
      <c r="G67" t="inlineStr">
        <is>
          <t>Financials</t>
        </is>
      </c>
      <c r="H67" t="inlineStr">
        <is>
          <t>Commercial Banks</t>
        </is>
      </c>
      <c r="I67" t="inlineStr">
        <is>
          <t>Commercial bank</t>
        </is>
      </c>
      <c r="J67" t="inlineStr">
        <is>
          <t>High</t>
        </is>
      </c>
      <c r="K67" t="inlineStr">
        <is>
          <t>Replaces SIIG (2250) 2026-10-21; SIIG had no revenue line</t>
        </is>
      </c>
      <c r="L67" t="inlineStr">
        <is>
          <t>Yes</t>
        </is>
      </c>
      <c r="M67" t="n">
        <v>16</v>
      </c>
      <c r="N67" t="inlineStr">
        <is>
          <t>Yes</t>
        </is>
      </c>
    </row>
  </sheetData>
  <autoFilter ref="A1:P66"/>
  <dataValidations count="1">
    <dataValidation sqref="N2:N66"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68"/>
  <sheetViews>
    <sheetView zoomScaleNormal="100" workbookViewId="0">
      <pane xSplit="3" ySplit="1" topLeftCell="D43" activePane="bottomRight" state="frozen"/>
      <selection pane="topRight" activeCell="D1" sqref="D1"/>
      <selection pane="bottomLeft" activeCell="A2" sqref="A2"/>
      <selection pane="bottomRight" activeCell="J2" sqref="J2:J68"/>
    </sheetView>
  </sheetViews>
  <sheetFormatPr baseColWidth="8" defaultColWidth="8.7109375" defaultRowHeight="15"/>
  <cols>
    <col width="5" customWidth="1" min="1" max="1"/>
    <col width="13" customWidth="1" min="2" max="2"/>
    <col width="30" customWidth="1" min="3" max="3"/>
    <col width="24" customWidth="1" min="4" max="4"/>
    <col width="34" customWidth="1" min="5" max="5"/>
    <col width="30" customWidth="1" min="6" max="6"/>
    <col width="22" customWidth="1" min="7" max="7"/>
    <col width="11" customWidth="1" min="8" max="8"/>
    <col width="52" customWidth="1" min="9" max="9"/>
    <col width="9" customWidth="1" min="10" max="10"/>
    <col width="30" customWidth="1" min="11" max="11"/>
    <col width="36" customWidth="1" min="12" max="12"/>
  </cols>
  <sheetData>
    <row r="1" ht="31.5" customHeight="1">
      <c r="A1" s="7" t="inlineStr">
        <is>
          <t>#</t>
        </is>
      </c>
      <c r="B1" s="7" t="inlineStr">
        <is>
          <t>Pillar (today)</t>
        </is>
      </c>
      <c r="C1" s="7" t="inlineStr">
        <is>
          <t>Term</t>
        </is>
      </c>
      <c r="D1" s="7" t="inlineStr">
        <is>
          <t>Group</t>
        </is>
      </c>
      <c r="E1" s="7" t="inlineStr">
        <is>
          <t>SASB category (primary)</t>
        </is>
      </c>
      <c r="F1" s="7" t="inlineStr">
        <is>
          <t>SASB category (secondary)</t>
        </is>
      </c>
      <c r="G1" s="7" t="inlineStr">
        <is>
          <t>SASB dimension</t>
        </is>
      </c>
      <c r="H1" s="7" t="inlineStr">
        <is>
          <t>Confidence</t>
        </is>
      </c>
      <c r="I1" s="7" t="inlineStr">
        <is>
          <t>Note</t>
        </is>
      </c>
      <c r="J1" s="8" t="inlineStr">
        <is>
          <t>Agree?</t>
        </is>
      </c>
      <c r="K1" s="8" t="inlineStr">
        <is>
          <t>Change to</t>
        </is>
      </c>
      <c r="L1" s="8" t="inlineStr">
        <is>
          <t>Comment</t>
        </is>
      </c>
    </row>
    <row r="2" ht="25.5" customHeight="1">
      <c r="A2" s="9" t="n">
        <v>1</v>
      </c>
      <c r="B2" s="9" t="inlineStr">
        <is>
          <t>Environmental</t>
        </is>
      </c>
      <c r="C2" s="10" t="inlineStr">
        <is>
          <t>climate change</t>
        </is>
      </c>
      <c r="D2" s="9" t="inlineStr">
        <is>
          <t>Core</t>
        </is>
      </c>
      <c r="E2" s="9" t="inlineStr">
        <is>
          <t>GHG Emissions</t>
        </is>
      </c>
      <c r="F2" s="9" t="inlineStr">
        <is>
          <t>Physical Impacts of Climate Change</t>
        </is>
      </c>
      <c r="G2" s="9">
        <f>IF(OR(E2="",E2="No SASB category"),"",IFERROR(INDEX('SASB categories'!$A$2:$A$27,MATCH(E2,'SASB categories'!$B$2:$B$27,0)),"check name"))</f>
        <v/>
      </c>
      <c r="H2" s="9" t="inlineStr">
        <is>
          <t>Medium</t>
        </is>
      </c>
      <c r="I2" s="9" t="inlineStr">
        <is>
          <t>Covers both cutting emissions and coping with climate effects.</t>
        </is>
      </c>
      <c r="J2" s="12" t="inlineStr">
        <is>
          <t>Yes</t>
        </is>
      </c>
      <c r="K2" s="12" t="n"/>
      <c r="L2" s="12" t="n"/>
    </row>
    <row r="3" ht="25.5" customHeight="1">
      <c r="A3" s="9" t="n">
        <v>2</v>
      </c>
      <c r="B3" s="9" t="inlineStr">
        <is>
          <t>Environmental</t>
        </is>
      </c>
      <c r="C3" s="10" t="inlineStr">
        <is>
          <t>climate risk</t>
        </is>
      </c>
      <c r="D3" s="9" t="inlineStr">
        <is>
          <t>Core</t>
        </is>
      </c>
      <c r="E3" s="9" t="inlineStr">
        <is>
          <t>Physical Impacts of Climate Change</t>
        </is>
      </c>
      <c r="F3" s="9" t="inlineStr">
        <is>
          <t>Business Model Resilience</t>
        </is>
      </c>
      <c r="G3" s="9">
        <f>IF(OR(E3="",E3="No SASB category"),"",IFERROR(INDEX('SASB categories'!$A$2:$A$27,MATCH(E3,'SASB categories'!$B$2:$B$27,0)),"check name"))</f>
        <v/>
      </c>
      <c r="H3" s="9" t="inlineStr">
        <is>
          <t>Medium</t>
        </is>
      </c>
      <c r="I3" s="9" t="inlineStr">
        <is>
          <t>Physical risk sits under Physical Impacts; transition risk under Business Model Resilience.</t>
        </is>
      </c>
      <c r="J3" s="12" t="inlineStr">
        <is>
          <t>Yes</t>
        </is>
      </c>
      <c r="K3" s="12" t="n"/>
      <c r="L3" s="12" t="n"/>
    </row>
    <row r="4">
      <c r="A4" s="9" t="n">
        <v>3</v>
      </c>
      <c r="B4" s="9" t="inlineStr">
        <is>
          <t>Environmental</t>
        </is>
      </c>
      <c r="C4" s="10" t="inlineStr">
        <is>
          <t>carbon emissions</t>
        </is>
      </c>
      <c r="D4" s="9" t="inlineStr">
        <is>
          <t>Core</t>
        </is>
      </c>
      <c r="E4" s="9" t="inlineStr">
        <is>
          <t>GHG Emissions</t>
        </is>
      </c>
      <c r="F4" s="9" t="n"/>
      <c r="G4" s="9">
        <f>IF(OR(E4="",E4="No SASB category"),"",IFERROR(INDEX('SASB categories'!$A$2:$A$27,MATCH(E4,'SASB categories'!$B$2:$B$27,0)),"check name"))</f>
        <v/>
      </c>
      <c r="H4" s="9" t="inlineStr">
        <is>
          <t>High</t>
        </is>
      </c>
      <c r="I4" s="9" t="n"/>
      <c r="J4" s="12" t="inlineStr">
        <is>
          <t>Yes</t>
        </is>
      </c>
      <c r="K4" s="12" t="n"/>
      <c r="L4" s="12" t="n"/>
    </row>
    <row r="5">
      <c r="A5" s="9" t="n">
        <v>4</v>
      </c>
      <c r="B5" s="9" t="inlineStr">
        <is>
          <t>Environmental</t>
        </is>
      </c>
      <c r="C5" s="10" t="inlineStr">
        <is>
          <t>carbon footprint</t>
        </is>
      </c>
      <c r="D5" s="9" t="inlineStr">
        <is>
          <t>Core</t>
        </is>
      </c>
      <c r="E5" s="9" t="inlineStr">
        <is>
          <t>GHG Emissions</t>
        </is>
      </c>
      <c r="F5" s="9" t="n"/>
      <c r="G5" s="9">
        <f>IF(OR(E5="",E5="No SASB category"),"",IFERROR(INDEX('SASB categories'!$A$2:$A$27,MATCH(E5,'SASB categories'!$B$2:$B$27,0)),"check name"))</f>
        <v/>
      </c>
      <c r="H5" s="9" t="inlineStr">
        <is>
          <t>High</t>
        </is>
      </c>
      <c r="I5" s="9" t="n"/>
      <c r="J5" s="12" t="inlineStr">
        <is>
          <t>Yes</t>
        </is>
      </c>
      <c r="K5" s="12" t="n"/>
      <c r="L5" s="12" t="n"/>
    </row>
    <row r="6">
      <c r="A6" s="9" t="n">
        <v>5</v>
      </c>
      <c r="B6" s="9" t="inlineStr">
        <is>
          <t>Environmental</t>
        </is>
      </c>
      <c r="C6" s="10" t="inlineStr">
        <is>
          <t>greenhouse gas</t>
        </is>
      </c>
      <c r="D6" s="9" t="inlineStr">
        <is>
          <t>Core</t>
        </is>
      </c>
      <c r="E6" s="9" t="inlineStr">
        <is>
          <t>GHG Emissions</t>
        </is>
      </c>
      <c r="F6" s="9" t="n"/>
      <c r="G6" s="9">
        <f>IF(OR(E6="",E6="No SASB category"),"",IFERROR(INDEX('SASB categories'!$A$2:$A$27,MATCH(E6,'SASB categories'!$B$2:$B$27,0)),"check name"))</f>
        <v/>
      </c>
      <c r="H6" s="9" t="inlineStr">
        <is>
          <t>High</t>
        </is>
      </c>
      <c r="I6" s="9" t="n"/>
      <c r="J6" s="12" t="inlineStr">
        <is>
          <t>Yes</t>
        </is>
      </c>
      <c r="K6" s="12" t="n"/>
      <c r="L6" s="12" t="n"/>
    </row>
    <row r="7">
      <c r="A7" s="9" t="n">
        <v>6</v>
      </c>
      <c r="B7" s="9" t="inlineStr">
        <is>
          <t>Environmental</t>
        </is>
      </c>
      <c r="C7" s="10" t="inlineStr">
        <is>
          <t>renewable energy</t>
        </is>
      </c>
      <c r="D7" s="9" t="inlineStr">
        <is>
          <t>Core</t>
        </is>
      </c>
      <c r="E7" s="9" t="inlineStr">
        <is>
          <t>Energy Management</t>
        </is>
      </c>
      <c r="F7" s="9" t="n"/>
      <c r="G7" s="9">
        <f>IF(OR(E7="",E7="No SASB category"),"",IFERROR(INDEX('SASB categories'!$A$2:$A$27,MATCH(E7,'SASB categories'!$B$2:$B$27,0)),"check name"))</f>
        <v/>
      </c>
      <c r="H7" s="9" t="inlineStr">
        <is>
          <t>High</t>
        </is>
      </c>
      <c r="I7" s="9" t="n"/>
      <c r="J7" s="12" t="inlineStr">
        <is>
          <t>Yes</t>
        </is>
      </c>
      <c r="K7" s="12" t="n"/>
      <c r="L7" s="12" t="n"/>
    </row>
    <row r="8">
      <c r="A8" s="9" t="n">
        <v>7</v>
      </c>
      <c r="B8" s="9" t="inlineStr">
        <is>
          <t>Environmental</t>
        </is>
      </c>
      <c r="C8" s="10" t="inlineStr">
        <is>
          <t>energy efficiency</t>
        </is>
      </c>
      <c r="D8" s="9" t="inlineStr">
        <is>
          <t>Core</t>
        </is>
      </c>
      <c r="E8" s="9" t="inlineStr">
        <is>
          <t>Energy Management</t>
        </is>
      </c>
      <c r="F8" s="9" t="n"/>
      <c r="G8" s="9">
        <f>IF(OR(E8="",E8="No SASB category"),"",IFERROR(INDEX('SASB categories'!$A$2:$A$27,MATCH(E8,'SASB categories'!$B$2:$B$27,0)),"check name"))</f>
        <v/>
      </c>
      <c r="H8" s="9" t="inlineStr">
        <is>
          <t>High</t>
        </is>
      </c>
      <c r="I8" s="9" t="n"/>
      <c r="J8" s="12" t="inlineStr">
        <is>
          <t>Yes</t>
        </is>
      </c>
      <c r="K8" s="12" t="n"/>
      <c r="L8" s="12" t="n"/>
    </row>
    <row r="9" ht="25.5" customHeight="1">
      <c r="A9" s="15" t="n">
        <v>8</v>
      </c>
      <c r="B9" s="15" t="inlineStr">
        <is>
          <t>Environmental</t>
        </is>
      </c>
      <c r="C9" s="16" t="inlineStr">
        <is>
          <t>green financing</t>
        </is>
      </c>
      <c r="D9" s="15" t="inlineStr">
        <is>
          <t>Financial add-on</t>
        </is>
      </c>
      <c r="E9" s="15" t="inlineStr">
        <is>
          <t>Product Design &amp; Lifecycle Management</t>
        </is>
      </c>
      <c r="F9" s="15" t="n"/>
      <c r="G9" s="15">
        <f>IF(OR(E9="",E9="No SASB category"),"",IFERROR(INDEX('SASB categories'!$A$2:$A$27,MATCH(E9,'SASB categories'!$B$2:$B$27,0)),"check name"))</f>
        <v/>
      </c>
      <c r="H9" s="15" t="inlineStr">
        <is>
          <t>Medium</t>
        </is>
      </c>
      <c r="I9" s="15" t="inlineStr">
        <is>
          <t>For banks, SASB treats ESG in lending as a product-design topic. Verify in the SASB Navigator.</t>
        </is>
      </c>
      <c r="J9" s="12" t="inlineStr">
        <is>
          <t>Yes</t>
        </is>
      </c>
      <c r="K9" s="12" t="n"/>
      <c r="L9" s="12" t="n"/>
    </row>
    <row r="10" ht="38.25" customHeight="1">
      <c r="A10" s="9" t="n">
        <v>9</v>
      </c>
      <c r="B10" s="9" t="inlineStr">
        <is>
          <t>Environmental</t>
        </is>
      </c>
      <c r="C10" s="10" t="inlineStr">
        <is>
          <t>green bond</t>
        </is>
      </c>
      <c r="D10" s="9" t="inlineStr">
        <is>
          <t>Core</t>
        </is>
      </c>
      <c r="E10" s="9" t="inlineStr">
        <is>
          <t>No SASB category</t>
        </is>
      </c>
      <c r="F10" s="9" t="n"/>
      <c r="G10" s="9">
        <f>IF(OR(E10="",E10="No SASB category"),"",IFERROR(INDEX('SASB categories'!$A$2:$A$27,MATCH(E10,'SASB categories'!$B$2:$B$27,0)),"check name"))</f>
        <v/>
      </c>
      <c r="H10" s="9" t="inlineStr">
        <is>
          <t>Medium</t>
        </is>
      </c>
      <c r="I10" s="9" t="inlineStr">
        <is>
          <t>Any company can issue one, so kept in the core. GCC firms often issue 'green sukuk', which this term does not catch: possible gap.</t>
        </is>
      </c>
      <c r="J10" s="12" t="inlineStr">
        <is>
          <t>Yes</t>
        </is>
      </c>
      <c r="K10" s="12" t="n"/>
      <c r="L10" s="12" t="n"/>
    </row>
    <row r="11" ht="25.5" customHeight="1">
      <c r="A11" s="15" t="n">
        <v>10</v>
      </c>
      <c r="B11" s="15" t="inlineStr">
        <is>
          <t>Environmental</t>
        </is>
      </c>
      <c r="C11" s="16" t="inlineStr">
        <is>
          <t>sustainable finance</t>
        </is>
      </c>
      <c r="D11" s="15" t="inlineStr">
        <is>
          <t>Financial add-on</t>
        </is>
      </c>
      <c r="E11" s="15" t="inlineStr">
        <is>
          <t>Product Design &amp; Lifecycle Management</t>
        </is>
      </c>
      <c r="F11" s="15" t="n"/>
      <c r="G11" s="15">
        <f>IF(OR(E11="",E11="No SASB category"),"",IFERROR(INDEX('SASB categories'!$A$2:$A$27,MATCH(E11,'SASB categories'!$B$2:$B$27,0)),"check name"))</f>
        <v/>
      </c>
      <c r="H11" s="15" t="inlineStr">
        <is>
          <t>Medium</t>
        </is>
      </c>
      <c r="I11" s="15" t="inlineStr">
        <is>
          <t>Same reasoning as green financing. Verify.</t>
        </is>
      </c>
      <c r="J11" s="12" t="inlineStr">
        <is>
          <t>Yes</t>
        </is>
      </c>
      <c r="K11" s="12" t="n"/>
      <c r="L11" s="12" t="n"/>
    </row>
    <row r="12">
      <c r="A12" s="9" t="n">
        <v>11</v>
      </c>
      <c r="B12" s="9" t="inlineStr">
        <is>
          <t>Environmental</t>
        </is>
      </c>
      <c r="C12" s="10" t="inlineStr">
        <is>
          <t>environmental risk</t>
        </is>
      </c>
      <c r="D12" s="9" t="inlineStr">
        <is>
          <t>Core</t>
        </is>
      </c>
      <c r="E12" s="9" t="inlineStr">
        <is>
          <t>No SASB category</t>
        </is>
      </c>
      <c r="F12" s="9" t="n"/>
      <c r="G12" s="9">
        <f>IF(OR(E12="",E12="No SASB category"),"",IFERROR(INDEX('SASB categories'!$A$2:$A$27,MATCH(E12,'SASB categories'!$B$2:$B$27,0)),"check name"))</f>
        <v/>
      </c>
      <c r="H12" s="9" t="inlineStr">
        <is>
          <t>Medium</t>
        </is>
      </c>
      <c r="I12" s="9" t="inlineStr">
        <is>
          <t>Too broad to tie to one category.</t>
        </is>
      </c>
      <c r="J12" s="12" t="inlineStr">
        <is>
          <t>Yes</t>
        </is>
      </c>
      <c r="K12" s="12" t="n"/>
      <c r="L12" s="12" t="n"/>
    </row>
    <row r="13">
      <c r="A13" s="9" t="n">
        <v>12</v>
      </c>
      <c r="B13" s="9" t="inlineStr">
        <is>
          <t>Environmental</t>
        </is>
      </c>
      <c r="C13" s="10" t="inlineStr">
        <is>
          <t>water management</t>
        </is>
      </c>
      <c r="D13" s="9" t="inlineStr">
        <is>
          <t>Core</t>
        </is>
      </c>
      <c r="E13" s="9" t="inlineStr">
        <is>
          <t>Water &amp; Wastewater Management</t>
        </is>
      </c>
      <c r="F13" s="9" t="n"/>
      <c r="G13" s="9">
        <f>IF(OR(E13="",E13="No SASB category"),"",IFERROR(INDEX('SASB categories'!$A$2:$A$27,MATCH(E13,'SASB categories'!$B$2:$B$27,0)),"check name"))</f>
        <v/>
      </c>
      <c r="H13" s="9" t="inlineStr">
        <is>
          <t>High</t>
        </is>
      </c>
      <c r="I13" s="9" t="n"/>
      <c r="J13" s="12" t="inlineStr">
        <is>
          <t>Yes</t>
        </is>
      </c>
      <c r="K13" s="12" t="n"/>
      <c r="L13" s="12" t="n"/>
    </row>
    <row r="14" ht="25.5" customHeight="1">
      <c r="A14" s="9" t="n">
        <v>13</v>
      </c>
      <c r="B14" s="9" t="inlineStr">
        <is>
          <t>Environmental</t>
        </is>
      </c>
      <c r="C14" s="10" t="inlineStr">
        <is>
          <t>waste management</t>
        </is>
      </c>
      <c r="D14" s="9" t="inlineStr">
        <is>
          <t>Core</t>
        </is>
      </c>
      <c r="E14" s="9" t="inlineStr">
        <is>
          <t>Waste &amp; Hazardous Materials Management</t>
        </is>
      </c>
      <c r="F14" s="9" t="n"/>
      <c r="G14" s="9">
        <f>IF(OR(E14="",E14="No SASB category"),"",IFERROR(INDEX('SASB categories'!$A$2:$A$27,MATCH(E14,'SASB categories'!$B$2:$B$27,0)),"check name"))</f>
        <v/>
      </c>
      <c r="H14" s="9" t="inlineStr">
        <is>
          <t>High</t>
        </is>
      </c>
      <c r="I14" s="9" t="n"/>
      <c r="J14" s="12" t="inlineStr">
        <is>
          <t>Yes</t>
        </is>
      </c>
      <c r="K14" s="12" t="n"/>
      <c r="L14" s="12" t="n"/>
    </row>
    <row r="15">
      <c r="A15" s="9" t="n">
        <v>14</v>
      </c>
      <c r="B15" s="9" t="inlineStr">
        <is>
          <t>Environmental</t>
        </is>
      </c>
      <c r="C15" s="10" t="inlineStr">
        <is>
          <t>biodiversity</t>
        </is>
      </c>
      <c r="D15" s="9" t="inlineStr">
        <is>
          <t>Core</t>
        </is>
      </c>
      <c r="E15" s="9" t="inlineStr">
        <is>
          <t>Ecological Impacts</t>
        </is>
      </c>
      <c r="F15" s="9" t="n"/>
      <c r="G15" s="9">
        <f>IF(OR(E15="",E15="No SASB category"),"",IFERROR(INDEX('SASB categories'!$A$2:$A$27,MATCH(E15,'SASB categories'!$B$2:$B$27,0)),"check name"))</f>
        <v/>
      </c>
      <c r="H15" s="9" t="inlineStr">
        <is>
          <t>High</t>
        </is>
      </c>
      <c r="I15" s="9" t="n"/>
      <c r="J15" s="12" t="inlineStr">
        <is>
          <t>Yes</t>
        </is>
      </c>
      <c r="K15" s="12" t="n"/>
      <c r="L15" s="12" t="n"/>
    </row>
    <row r="16" ht="25.5" customHeight="1">
      <c r="A16" s="17" t="n">
        <v>15</v>
      </c>
      <c r="B16" s="17" t="inlineStr">
        <is>
          <t>Environmental</t>
        </is>
      </c>
      <c r="C16" s="18" t="inlineStr">
        <is>
          <t>ESG</t>
        </is>
      </c>
      <c r="D16" s="17" t="inlineStr">
        <is>
          <t>Generic – counted separately</t>
        </is>
      </c>
      <c r="E16" s="17" t="n"/>
      <c r="F16" s="17" t="n"/>
      <c r="G16" s="17">
        <f>IF(OR(E16="",E16="No SASB category"),"",IFERROR(INDEX('SASB categories'!$A$2:$A$27,MATCH(E16,'SASB categories'!$B$2:$B$27,0)),"check name"))</f>
        <v/>
      </c>
      <c r="H16" s="17" t="n"/>
      <c r="I16" s="17" t="inlineStr">
        <is>
          <t>Agreed decision 3: counted separately, not as Environmental.</t>
        </is>
      </c>
      <c r="J16" s="12" t="inlineStr">
        <is>
          <t>Yes</t>
        </is>
      </c>
      <c r="K16" s="12" t="n"/>
      <c r="L16" s="12" t="n"/>
    </row>
    <row r="17" ht="25.5" customHeight="1">
      <c r="A17" s="17" t="n">
        <v>16</v>
      </c>
      <c r="B17" s="17" t="inlineStr">
        <is>
          <t>Environmental</t>
        </is>
      </c>
      <c r="C17" s="18" t="inlineStr">
        <is>
          <t>sustainability</t>
        </is>
      </c>
      <c r="D17" s="17" t="inlineStr">
        <is>
          <t>Generic – counted separately</t>
        </is>
      </c>
      <c r="E17" s="17" t="n"/>
      <c r="F17" s="17" t="n"/>
      <c r="G17" s="17">
        <f>IF(OR(E17="",E17="No SASB category"),"",IFERROR(INDEX('SASB categories'!$A$2:$A$27,MATCH(E17,'SASB categories'!$B$2:$B$27,0)),"check name"))</f>
        <v/>
      </c>
      <c r="H17" s="17" t="n"/>
      <c r="I17" s="17" t="inlineStr">
        <is>
          <t>Agreed decision 3.</t>
        </is>
      </c>
      <c r="J17" s="12" t="inlineStr">
        <is>
          <t>Yes</t>
        </is>
      </c>
      <c r="K17" s="12" t="n"/>
      <c r="L17" s="12" t="n"/>
    </row>
    <row r="18" ht="25.5" customHeight="1">
      <c r="A18" s="17" t="n">
        <v>17</v>
      </c>
      <c r="B18" s="17" t="inlineStr">
        <is>
          <t>Environmental</t>
        </is>
      </c>
      <c r="C18" s="18" t="inlineStr">
        <is>
          <t>GRI</t>
        </is>
      </c>
      <c r="D18" s="17" t="inlineStr">
        <is>
          <t>Generic – counted separately</t>
        </is>
      </c>
      <c r="E18" s="17" t="n"/>
      <c r="F18" s="17" t="n"/>
      <c r="G18" s="17">
        <f>IF(OR(E18="",E18="No SASB category"),"",IFERROR(INDEX('SASB categories'!$A$2:$A$27,MATCH(E18,'SASB categories'!$B$2:$B$27,0)),"check name"))</f>
        <v/>
      </c>
      <c r="H18" s="17" t="n"/>
      <c r="I18" s="17" t="inlineStr">
        <is>
          <t>Agreed decision 3.</t>
        </is>
      </c>
      <c r="J18" s="12" t="inlineStr">
        <is>
          <t>Yes</t>
        </is>
      </c>
      <c r="K18" s="12" t="n"/>
      <c r="L18" s="12" t="n"/>
    </row>
    <row r="19">
      <c r="A19" s="9" t="n">
        <v>18</v>
      </c>
      <c r="B19" s="9" t="inlineStr">
        <is>
          <t>Environmental</t>
        </is>
      </c>
      <c r="C19" s="10" t="inlineStr">
        <is>
          <t>net zero</t>
        </is>
      </c>
      <c r="D19" s="9" t="inlineStr">
        <is>
          <t>Core</t>
        </is>
      </c>
      <c r="E19" s="9" t="inlineStr">
        <is>
          <t>GHG Emissions</t>
        </is>
      </c>
      <c r="F19" s="9" t="n"/>
      <c r="G19" s="9">
        <f>IF(OR(E19="",E19="No SASB category"),"",IFERROR(INDEX('SASB categories'!$A$2:$A$27,MATCH(E19,'SASB categories'!$B$2:$B$27,0)),"check name"))</f>
        <v/>
      </c>
      <c r="H19" s="9" t="inlineStr">
        <is>
          <t>High</t>
        </is>
      </c>
      <c r="I19" s="9" t="n"/>
      <c r="J19" s="12" t="inlineStr">
        <is>
          <t>Yes</t>
        </is>
      </c>
      <c r="K19" s="12" t="n"/>
      <c r="L19" s="12" t="n"/>
    </row>
    <row r="20" ht="25.5" customHeight="1">
      <c r="A20" s="17" t="n">
        <v>19</v>
      </c>
      <c r="B20" s="17" t="inlineStr">
        <is>
          <t>Environmental</t>
        </is>
      </c>
      <c r="C20" s="18" t="inlineStr">
        <is>
          <t>sustainable development</t>
        </is>
      </c>
      <c r="D20" s="17" t="inlineStr">
        <is>
          <t>Generic – counted separately</t>
        </is>
      </c>
      <c r="E20" s="17" t="n"/>
      <c r="F20" s="17" t="n"/>
      <c r="G20" s="17">
        <f>IF(OR(E20="",E20="No SASB category"),"",IFERROR(INDEX('SASB categories'!$A$2:$A$27,MATCH(E20,'SASB categories'!$B$2:$B$27,0)),"check name"))</f>
        <v/>
      </c>
      <c r="H20" s="17" t="n"/>
      <c r="I20" s="17" t="inlineStr">
        <is>
          <t>Agreed decision 3.</t>
        </is>
      </c>
      <c r="J20" s="12" t="inlineStr">
        <is>
          <t>Yes</t>
        </is>
      </c>
      <c r="K20" s="12" t="n"/>
      <c r="L20" s="12" t="n"/>
    </row>
    <row r="21" ht="25.5" customHeight="1">
      <c r="A21" s="15" t="n">
        <v>20</v>
      </c>
      <c r="B21" s="15" t="inlineStr">
        <is>
          <t>Environmental</t>
        </is>
      </c>
      <c r="C21" s="16" t="inlineStr">
        <is>
          <t>sustainable financing</t>
        </is>
      </c>
      <c r="D21" s="15" t="inlineStr">
        <is>
          <t>Financial add-on</t>
        </is>
      </c>
      <c r="E21" s="15" t="inlineStr">
        <is>
          <t>Product Design &amp; Lifecycle Management</t>
        </is>
      </c>
      <c r="F21" s="15" t="n"/>
      <c r="G21" s="15">
        <f>IF(OR(E21="",E21="No SASB category"),"",IFERROR(INDEX('SASB categories'!$A$2:$A$27,MATCH(E21,'SASB categories'!$B$2:$B$27,0)),"check name"))</f>
        <v/>
      </c>
      <c r="H21" s="15" t="inlineStr">
        <is>
          <t>Medium</t>
        </is>
      </c>
      <c r="I21" s="15" t="inlineStr">
        <is>
          <t>Same reasoning as green financing. Verify.</t>
        </is>
      </c>
      <c r="J21" s="12" t="inlineStr">
        <is>
          <t>Yes</t>
        </is>
      </c>
      <c r="K21" s="12" t="n"/>
      <c r="L21" s="12" t="n"/>
    </row>
    <row r="22">
      <c r="A22" s="9" t="n">
        <v>21</v>
      </c>
      <c r="B22" s="9" t="inlineStr">
        <is>
          <t>Environmental</t>
        </is>
      </c>
      <c r="C22" s="10" t="inlineStr">
        <is>
          <t>nature-positive</t>
        </is>
      </c>
      <c r="D22" s="9" t="inlineStr">
        <is>
          <t>Core</t>
        </is>
      </c>
      <c r="E22" s="9" t="inlineStr">
        <is>
          <t>Ecological Impacts</t>
        </is>
      </c>
      <c r="F22" s="9" t="n"/>
      <c r="G22" s="9">
        <f>IF(OR(E22="",E22="No SASB category"),"",IFERROR(INDEX('SASB categories'!$A$2:$A$27,MATCH(E22,'SASB categories'!$B$2:$B$27,0)),"check name"))</f>
        <v/>
      </c>
      <c r="H22" s="9" t="inlineStr">
        <is>
          <t>High</t>
        </is>
      </c>
      <c r="I22" s="9" t="n"/>
      <c r="J22" s="12" t="inlineStr">
        <is>
          <t>Yes</t>
        </is>
      </c>
      <c r="K22" s="12" t="n"/>
      <c r="L22" s="12" t="n"/>
    </row>
    <row r="23">
      <c r="A23" s="9" t="n">
        <v>22</v>
      </c>
      <c r="B23" s="9" t="inlineStr">
        <is>
          <t>Environmental</t>
        </is>
      </c>
      <c r="C23" s="10" t="inlineStr">
        <is>
          <t>nature-related</t>
        </is>
      </c>
      <c r="D23" s="9" t="inlineStr">
        <is>
          <t>Core</t>
        </is>
      </c>
      <c r="E23" s="9" t="inlineStr">
        <is>
          <t>Ecological Impacts</t>
        </is>
      </c>
      <c r="F23" s="9" t="n"/>
      <c r="G23" s="9">
        <f>IF(OR(E23="",E23="No SASB category"),"",IFERROR(INDEX('SASB categories'!$A$2:$A$27,MATCH(E23,'SASB categories'!$B$2:$B$27,0)),"check name"))</f>
        <v/>
      </c>
      <c r="H23" s="9" t="inlineStr">
        <is>
          <t>Medium</t>
        </is>
      </c>
      <c r="I23" s="9" t="inlineStr">
        <is>
          <t>Often appears as 'nature-related risks'.</t>
        </is>
      </c>
      <c r="J23" s="12" t="inlineStr">
        <is>
          <t>Yes</t>
        </is>
      </c>
      <c r="K23" s="12" t="n"/>
      <c r="L23" s="12" t="n"/>
    </row>
    <row r="24" ht="25.5" customHeight="1">
      <c r="A24" s="9" t="n">
        <v>23</v>
      </c>
      <c r="B24" s="9" t="inlineStr">
        <is>
          <t>Social</t>
        </is>
      </c>
      <c r="C24" s="10" t="inlineStr">
        <is>
          <t>diversity and inclusion</t>
        </is>
      </c>
      <c r="D24" s="9" t="inlineStr">
        <is>
          <t>Core</t>
        </is>
      </c>
      <c r="E24" s="9" t="inlineStr">
        <is>
          <t>Employee Engagement, Diversity &amp; Inclusion</t>
        </is>
      </c>
      <c r="F24" s="9" t="n"/>
      <c r="G24" s="9">
        <f>IF(OR(E24="",E24="No SASB category"),"",IFERROR(INDEX('SASB categories'!$A$2:$A$27,MATCH(E24,'SASB categories'!$B$2:$B$27,0)),"check name"))</f>
        <v/>
      </c>
      <c r="H24" s="9" t="inlineStr">
        <is>
          <t>High</t>
        </is>
      </c>
      <c r="I24" s="9" t="n"/>
      <c r="J24" s="12" t="inlineStr">
        <is>
          <t>Yes</t>
        </is>
      </c>
      <c r="K24" s="12" t="n"/>
      <c r="L24" s="12" t="n"/>
    </row>
    <row r="25" ht="25.5" customHeight="1">
      <c r="A25" s="9" t="n">
        <v>24</v>
      </c>
      <c r="B25" s="9" t="inlineStr">
        <is>
          <t>Social</t>
        </is>
      </c>
      <c r="C25" s="10" t="inlineStr">
        <is>
          <t>gender diversity</t>
        </is>
      </c>
      <c r="D25" s="9" t="inlineStr">
        <is>
          <t>Core</t>
        </is>
      </c>
      <c r="E25" s="9" t="inlineStr">
        <is>
          <t>Employee Engagement, Diversity &amp; Inclusion</t>
        </is>
      </c>
      <c r="F25" s="9" t="n"/>
      <c r="G25" s="9">
        <f>IF(OR(E25="",E25="No SASB category"),"",IFERROR(INDEX('SASB categories'!$A$2:$A$27,MATCH(E25,'SASB categories'!$B$2:$B$27,0)),"check name"))</f>
        <v/>
      </c>
      <c r="H25" s="9" t="inlineStr">
        <is>
          <t>Medium</t>
        </is>
      </c>
      <c r="I25" s="9" t="inlineStr">
        <is>
          <t>Often refers to the board rather than the workforce; the benchmark article found the same.</t>
        </is>
      </c>
      <c r="J25" s="12" t="inlineStr">
        <is>
          <t>Yes</t>
        </is>
      </c>
      <c r="K25" s="12" t="n"/>
      <c r="L25" s="12" t="n"/>
    </row>
    <row r="26">
      <c r="A26" s="9" t="n">
        <v>25</v>
      </c>
      <c r="B26" s="9" t="inlineStr">
        <is>
          <t>Social</t>
        </is>
      </c>
      <c r="C26" s="10" t="inlineStr">
        <is>
          <t>human rights</t>
        </is>
      </c>
      <c r="D26" s="9" t="inlineStr">
        <is>
          <t>Core</t>
        </is>
      </c>
      <c r="E26" s="9" t="inlineStr">
        <is>
          <t>Human Rights &amp; Community Relations</t>
        </is>
      </c>
      <c r="F26" s="9" t="n"/>
      <c r="G26" s="9">
        <f>IF(OR(E26="",E26="No SASB category"),"",IFERROR(INDEX('SASB categories'!$A$2:$A$27,MATCH(E26,'SASB categories'!$B$2:$B$27,0)),"check name"))</f>
        <v/>
      </c>
      <c r="H26" s="9" t="inlineStr">
        <is>
          <t>High</t>
        </is>
      </c>
      <c r="I26" s="9" t="n"/>
      <c r="J26" s="12" t="inlineStr">
        <is>
          <t>Yes</t>
        </is>
      </c>
      <c r="K26" s="12" t="n"/>
      <c r="L26" s="12" t="n"/>
    </row>
    <row r="27">
      <c r="A27" s="9" t="n">
        <v>26</v>
      </c>
      <c r="B27" s="9" t="inlineStr">
        <is>
          <t>Social</t>
        </is>
      </c>
      <c r="C27" s="10" t="inlineStr">
        <is>
          <t>employee wellbeing</t>
        </is>
      </c>
      <c r="D27" s="9" t="inlineStr">
        <is>
          <t>Core</t>
        </is>
      </c>
      <c r="E27" s="9" t="inlineStr">
        <is>
          <t>Employee Health &amp; Safety</t>
        </is>
      </c>
      <c r="F27" s="9" t="inlineStr">
        <is>
          <t>Labor Practices</t>
        </is>
      </c>
      <c r="G27" s="9">
        <f>IF(OR(E27="",E27="No SASB category"),"",IFERROR(INDEX('SASB categories'!$A$2:$A$27,MATCH(E27,'SASB categories'!$B$2:$B$27,0)),"check name"))</f>
        <v/>
      </c>
      <c r="H27" s="9" t="inlineStr">
        <is>
          <t>Medium</t>
        </is>
      </c>
      <c r="I27" s="9" t="n"/>
      <c r="J27" s="12" t="inlineStr">
        <is>
          <t>Yes</t>
        </is>
      </c>
      <c r="K27" s="12" t="n"/>
      <c r="L27" s="12" t="n"/>
    </row>
    <row r="28" ht="25.5" customHeight="1">
      <c r="A28" s="9" t="n">
        <v>27</v>
      </c>
      <c r="B28" s="9" t="inlineStr">
        <is>
          <t>Social</t>
        </is>
      </c>
      <c r="C28" s="10" t="inlineStr">
        <is>
          <t>employee training</t>
        </is>
      </c>
      <c r="D28" s="9" t="inlineStr">
        <is>
          <t>Core</t>
        </is>
      </c>
      <c r="E28" s="9" t="inlineStr">
        <is>
          <t>Employee Engagement, Diversity &amp; Inclusion</t>
        </is>
      </c>
      <c r="F28" s="9" t="n"/>
      <c r="G28" s="9">
        <f>IF(OR(E28="",E28="No SASB category"),"",IFERROR(INDEX('SASB categories'!$A$2:$A$27,MATCH(E28,'SASB categories'!$B$2:$B$27,0)),"check name"))</f>
        <v/>
      </c>
      <c r="H28" s="9" t="inlineStr">
        <is>
          <t>Medium</t>
        </is>
      </c>
      <c r="I28" s="9" t="inlineStr">
        <is>
          <t>SASB places workforce skills under this category in several industries.</t>
        </is>
      </c>
      <c r="J28" s="12" t="inlineStr">
        <is>
          <t>Yes</t>
        </is>
      </c>
      <c r="K28" s="12" t="n"/>
      <c r="L28" s="12" t="n"/>
    </row>
    <row r="29" ht="25.5" customHeight="1">
      <c r="A29" s="9" t="n">
        <v>28</v>
      </c>
      <c r="B29" s="9" t="inlineStr">
        <is>
          <t>Social</t>
        </is>
      </c>
      <c r="C29" s="10" t="inlineStr">
        <is>
          <t>health and safety</t>
        </is>
      </c>
      <c r="D29" s="9" t="inlineStr">
        <is>
          <t>Core</t>
        </is>
      </c>
      <c r="E29" s="9" t="inlineStr">
        <is>
          <t>Employee Health &amp; Safety</t>
        </is>
      </c>
      <c r="F29" s="9" t="inlineStr">
        <is>
          <t>Product Quality &amp; Safety</t>
        </is>
      </c>
      <c r="G29" s="9">
        <f>IF(OR(E29="",E29="No SASB category"),"",IFERROR(INDEX('SASB categories'!$A$2:$A$27,MATCH(E29,'SASB categories'!$B$2:$B$27,0)),"check name"))</f>
        <v/>
      </c>
      <c r="H29" s="9" t="inlineStr">
        <is>
          <t>High</t>
        </is>
      </c>
      <c r="I29" s="9" t="inlineStr">
        <is>
          <t>Mostly workplace safety; sometimes product or customer safety.</t>
        </is>
      </c>
      <c r="J29" s="12" t="inlineStr">
        <is>
          <t>Yes</t>
        </is>
      </c>
      <c r="K29" s="12" t="n"/>
      <c r="L29" s="12" t="n"/>
    </row>
    <row r="30">
      <c r="A30" s="9" t="n">
        <v>29</v>
      </c>
      <c r="B30" s="9" t="inlineStr">
        <is>
          <t>Social</t>
        </is>
      </c>
      <c r="C30" s="10" t="inlineStr">
        <is>
          <t>community investment</t>
        </is>
      </c>
      <c r="D30" s="9" t="inlineStr">
        <is>
          <t>Core</t>
        </is>
      </c>
      <c r="E30" s="9" t="inlineStr">
        <is>
          <t>Human Rights &amp; Community Relations</t>
        </is>
      </c>
      <c r="F30" s="9" t="n"/>
      <c r="G30" s="9">
        <f>IF(OR(E30="",E30="No SASB category"),"",IFERROR(INDEX('SASB categories'!$A$2:$A$27,MATCH(E30,'SASB categories'!$B$2:$B$27,0)),"check name"))</f>
        <v/>
      </c>
      <c r="H30" s="9" t="inlineStr">
        <is>
          <t>Medium</t>
        </is>
      </c>
      <c r="I30" s="9" t="n"/>
      <c r="J30" s="12" t="inlineStr">
        <is>
          <t>Yes</t>
        </is>
      </c>
      <c r="K30" s="12" t="n"/>
      <c r="L30" s="12" t="n"/>
    </row>
    <row r="31">
      <c r="A31" s="9" t="n">
        <v>30</v>
      </c>
      <c r="B31" s="9" t="inlineStr">
        <is>
          <t>Social</t>
        </is>
      </c>
      <c r="C31" s="10" t="inlineStr">
        <is>
          <t>community development</t>
        </is>
      </c>
      <c r="D31" s="9" t="inlineStr">
        <is>
          <t>Core</t>
        </is>
      </c>
      <c r="E31" s="9" t="inlineStr">
        <is>
          <t>Human Rights &amp; Community Relations</t>
        </is>
      </c>
      <c r="F31" s="9" t="inlineStr">
        <is>
          <t>Access &amp; Affordability</t>
        </is>
      </c>
      <c r="G31" s="9">
        <f>IF(OR(E31="",E31="No SASB category"),"",IFERROR(INDEX('SASB categories'!$A$2:$A$27,MATCH(E31,'SASB categories'!$B$2:$B$27,0)),"check name"))</f>
        <v/>
      </c>
      <c r="H31" s="9" t="inlineStr">
        <is>
          <t>Medium</t>
        </is>
      </c>
      <c r="I31" s="9" t="inlineStr">
        <is>
          <t>For banks it can mean development lending.</t>
        </is>
      </c>
      <c r="J31" s="12" t="inlineStr">
        <is>
          <t>Yes</t>
        </is>
      </c>
      <c r="K31" s="12" t="n"/>
      <c r="L31" s="12" t="n"/>
    </row>
    <row r="32">
      <c r="A32" s="15" t="n">
        <v>31</v>
      </c>
      <c r="B32" s="15" t="inlineStr">
        <is>
          <t>Social</t>
        </is>
      </c>
      <c r="C32" s="16" t="inlineStr">
        <is>
          <t>financial inclusion</t>
        </is>
      </c>
      <c r="D32" s="15" t="inlineStr">
        <is>
          <t>Financial add-on</t>
        </is>
      </c>
      <c r="E32" s="15" t="inlineStr">
        <is>
          <t>Access &amp; Affordability</t>
        </is>
      </c>
      <c r="F32" s="15" t="n"/>
      <c r="G32" s="15">
        <f>IF(OR(E32="",E32="No SASB category"),"",IFERROR(INDEX('SASB categories'!$A$2:$A$27,MATCH(E32,'SASB categories'!$B$2:$B$27,0)),"check name"))</f>
        <v/>
      </c>
      <c r="H32" s="15" t="inlineStr">
        <is>
          <t>High</t>
        </is>
      </c>
      <c r="I32" s="15" t="inlineStr">
        <is>
          <t>Core SASB topic for commercial banks.</t>
        </is>
      </c>
      <c r="J32" s="12" t="inlineStr">
        <is>
          <t>Yes</t>
        </is>
      </c>
      <c r="K32" s="12" t="n"/>
      <c r="L32" s="12" t="n"/>
    </row>
    <row r="33">
      <c r="A33" s="15" t="n">
        <v>32</v>
      </c>
      <c r="B33" s="15" t="inlineStr">
        <is>
          <t>Social</t>
        </is>
      </c>
      <c r="C33" s="16" t="inlineStr">
        <is>
          <t>responsible lending</t>
        </is>
      </c>
      <c r="D33" s="15" t="inlineStr">
        <is>
          <t>Financial add-on</t>
        </is>
      </c>
      <c r="E33" s="15" t="inlineStr">
        <is>
          <t>Selling Practices &amp; Product Labeling</t>
        </is>
      </c>
      <c r="F33" s="15" t="n"/>
      <c r="G33" s="15">
        <f>IF(OR(E33="",E33="No SASB category"),"",IFERROR(INDEX('SASB categories'!$A$2:$A$27,MATCH(E33,'SASB categories'!$B$2:$B$27,0)),"check name"))</f>
        <v/>
      </c>
      <c r="H33" s="15" t="inlineStr">
        <is>
          <t>Medium</t>
        </is>
      </c>
      <c r="I33" s="15" t="n"/>
      <c r="J33" s="12" t="inlineStr">
        <is>
          <t>Yes</t>
        </is>
      </c>
      <c r="K33" s="12" t="n"/>
      <c r="L33" s="12" t="n"/>
    </row>
    <row r="34" ht="25.5" customHeight="1">
      <c r="A34" s="15" t="n">
        <v>33</v>
      </c>
      <c r="B34" s="15" t="inlineStr">
        <is>
          <t>Social</t>
        </is>
      </c>
      <c r="C34" s="16" t="inlineStr">
        <is>
          <t>fair lending</t>
        </is>
      </c>
      <c r="D34" s="15" t="inlineStr">
        <is>
          <t>Financial add-on</t>
        </is>
      </c>
      <c r="E34" s="15" t="inlineStr">
        <is>
          <t>Access &amp; Affordability</t>
        </is>
      </c>
      <c r="F34" s="15" t="inlineStr">
        <is>
          <t>Selling Practices &amp; Product Labeling</t>
        </is>
      </c>
      <c r="G34" s="15">
        <f>IF(OR(E34="",E34="No SASB category"),"",IFERROR(INDEX('SASB categories'!$A$2:$A$27,MATCH(E34,'SASB categories'!$B$2:$B$27,0)),"check name"))</f>
        <v/>
      </c>
      <c r="H34" s="19" t="inlineStr">
        <is>
          <t>Low</t>
        </is>
      </c>
      <c r="I34" s="15" t="inlineStr">
        <is>
          <t>Verify against SASB's mortgage and consumer finance topics.</t>
        </is>
      </c>
      <c r="J34" s="12" t="inlineStr">
        <is>
          <t>Yes</t>
        </is>
      </c>
      <c r="K34" s="12" t="n"/>
      <c r="L34" s="12" t="n"/>
    </row>
    <row r="35">
      <c r="A35" s="9" t="n">
        <v>34</v>
      </c>
      <c r="B35" s="9" t="inlineStr">
        <is>
          <t>Social</t>
        </is>
      </c>
      <c r="C35" s="10" t="inlineStr">
        <is>
          <t>customer privacy</t>
        </is>
      </c>
      <c r="D35" s="9" t="inlineStr">
        <is>
          <t>Core</t>
        </is>
      </c>
      <c r="E35" s="9" t="inlineStr">
        <is>
          <t>Customer Privacy</t>
        </is>
      </c>
      <c r="F35" s="9" t="n"/>
      <c r="G35" s="9">
        <f>IF(OR(E35="",E35="No SASB category"),"",IFERROR(INDEX('SASB categories'!$A$2:$A$27,MATCH(E35,'SASB categories'!$B$2:$B$27,0)),"check name"))</f>
        <v/>
      </c>
      <c r="H35" s="9" t="inlineStr">
        <is>
          <t>High</t>
        </is>
      </c>
      <c r="I35" s="9" t="n"/>
      <c r="J35" s="12" t="inlineStr">
        <is>
          <t>Yes</t>
        </is>
      </c>
      <c r="K35" s="12" t="n"/>
      <c r="L35" s="12" t="n"/>
    </row>
    <row r="36">
      <c r="A36" s="9" t="n">
        <v>35</v>
      </c>
      <c r="B36" s="9" t="inlineStr">
        <is>
          <t>Social</t>
        </is>
      </c>
      <c r="C36" s="10" t="inlineStr">
        <is>
          <t>customer satisfaction</t>
        </is>
      </c>
      <c r="D36" s="9" t="inlineStr">
        <is>
          <t>Core</t>
        </is>
      </c>
      <c r="E36" s="9" t="inlineStr">
        <is>
          <t>No SASB category</t>
        </is>
      </c>
      <c r="F36" s="9" t="n"/>
      <c r="G36" s="9">
        <f>IF(OR(E36="",E36="No SASB category"),"",IFERROR(INDEX('SASB categories'!$A$2:$A$27,MATCH(E36,'SASB categories'!$B$2:$B$27,0)),"check name"))</f>
        <v/>
      </c>
      <c r="H36" s="9" t="inlineStr">
        <is>
          <t>Medium</t>
        </is>
      </c>
      <c r="I36" s="9" t="inlineStr">
        <is>
          <t>SASB has no general customer-satisfaction topic.</t>
        </is>
      </c>
      <c r="J36" s="12" t="inlineStr">
        <is>
          <t>Yes</t>
        </is>
      </c>
      <c r="K36" s="12" t="n"/>
      <c r="L36" s="12" t="n"/>
    </row>
    <row r="37" ht="25.5" customHeight="1">
      <c r="A37" s="9" t="n">
        <v>36</v>
      </c>
      <c r="B37" s="9" t="inlineStr">
        <is>
          <t>Social</t>
        </is>
      </c>
      <c r="C37" s="10" t="inlineStr">
        <is>
          <t>zakat</t>
        </is>
      </c>
      <c r="D37" s="9" t="inlineStr">
        <is>
          <t>Core</t>
        </is>
      </c>
      <c r="E37" s="9" t="inlineStr">
        <is>
          <t>No SASB category</t>
        </is>
      </c>
      <c r="F37" s="9" t="n"/>
      <c r="G37" s="9">
        <f>IF(OR(E37="",E37="No SASB category"),"",IFERROR(INDEX('SASB categories'!$A$2:$A$27,MATCH(E37,'SASB categories'!$B$2:$B$27,0)),"check name"))</f>
        <v/>
      </c>
      <c r="H37" s="9" t="inlineStr">
        <is>
          <t>Medium</t>
        </is>
      </c>
      <c r="I37" s="14" t="inlineStr">
        <is>
          <t>QUESTION: often appears as a tax or accounting item rather than social disclosure. Keep in the term list?</t>
        </is>
      </c>
      <c r="J37" s="12" t="inlineStr">
        <is>
          <t>Yes</t>
        </is>
      </c>
      <c r="K37" s="12" t="n"/>
      <c r="L37" s="12" t="n"/>
    </row>
    <row r="38" ht="25.5" customHeight="1">
      <c r="A38" s="17" t="n">
        <v>37</v>
      </c>
      <c r="B38" s="17" t="inlineStr">
        <is>
          <t>Social</t>
        </is>
      </c>
      <c r="C38" s="18" t="inlineStr">
        <is>
          <t>CSR</t>
        </is>
      </c>
      <c r="D38" s="17" t="inlineStr">
        <is>
          <t>Generic – proposed</t>
        </is>
      </c>
      <c r="E38" s="17" t="n"/>
      <c r="F38" s="17" t="n"/>
      <c r="G38" s="17">
        <f>IF(OR(E38="",E38="No SASB category"),"",IFERROR(INDEX('SASB categories'!$A$2:$A$27,MATCH(E38,'SASB categories'!$B$2:$B$27,0)),"check name"))</f>
        <v/>
      </c>
      <c r="H38" s="17" t="n"/>
      <c r="I38" s="14" t="inlineStr">
        <is>
          <t>QUESTION: as generic as 'sustainability'. Proposed: count separately with the four generic terms.</t>
        </is>
      </c>
      <c r="J38" s="12" t="inlineStr">
        <is>
          <t>Yes</t>
        </is>
      </c>
      <c r="K38" s="12" t="n"/>
      <c r="L38" s="12" t="n"/>
    </row>
    <row r="39">
      <c r="A39" s="15" t="n">
        <v>38</v>
      </c>
      <c r="B39" s="15" t="inlineStr">
        <is>
          <t>Social</t>
        </is>
      </c>
      <c r="C39" s="16" t="inlineStr">
        <is>
          <t>financial literacy</t>
        </is>
      </c>
      <c r="D39" s="15" t="inlineStr">
        <is>
          <t>Financial add-on</t>
        </is>
      </c>
      <c r="E39" s="15" t="inlineStr">
        <is>
          <t>Access &amp; Affordability</t>
        </is>
      </c>
      <c r="F39" s="15" t="n"/>
      <c r="G39" s="15">
        <f>IF(OR(E39="",E39="No SASB category"),"",IFERROR(INDEX('SASB categories'!$A$2:$A$27,MATCH(E39,'SASB categories'!$B$2:$B$27,0)),"check name"))</f>
        <v/>
      </c>
      <c r="H39" s="15" t="inlineStr">
        <is>
          <t>High</t>
        </is>
      </c>
      <c r="I39" s="15" t="inlineStr">
        <is>
          <t>Part of SASB's financial inclusion topic for banks.</t>
        </is>
      </c>
      <c r="J39" s="12" t="inlineStr">
        <is>
          <t>Yes</t>
        </is>
      </c>
      <c r="K39" s="12" t="n"/>
      <c r="L39" s="12" t="n"/>
    </row>
    <row r="40" ht="25.5" customHeight="1">
      <c r="A40" s="9" t="n">
        <v>39</v>
      </c>
      <c r="B40" s="9" t="inlineStr">
        <is>
          <t>Social</t>
        </is>
      </c>
      <c r="C40" s="10" t="inlineStr">
        <is>
          <t>accessibility</t>
        </is>
      </c>
      <c r="D40" s="9" t="inlineStr">
        <is>
          <t>Core</t>
        </is>
      </c>
      <c r="E40" s="9" t="inlineStr">
        <is>
          <t>Access &amp; Affordability</t>
        </is>
      </c>
      <c r="F40" s="9" t="n"/>
      <c r="G40" s="9">
        <f>IF(OR(E40="",E40="No SASB category"),"",IFERROR(INDEX('SASB categories'!$A$2:$A$27,MATCH(E40,'SASB categories'!$B$2:$B$27,0)),"check name"))</f>
        <v/>
      </c>
      <c r="H40" s="20" t="inlineStr">
        <is>
          <t>Low</t>
        </is>
      </c>
      <c r="I40" s="9" t="inlineStr">
        <is>
          <t>Ambiguous word (building, digital or product access). Check sample matches.</t>
        </is>
      </c>
      <c r="J40" s="12" t="inlineStr">
        <is>
          <t>Yes</t>
        </is>
      </c>
      <c r="K40" s="12" t="n"/>
      <c r="L40" s="12" t="n"/>
    </row>
    <row r="41" ht="25.5" customHeight="1">
      <c r="A41" s="9" t="n">
        <v>40</v>
      </c>
      <c r="B41" s="9" t="inlineStr">
        <is>
          <t>Social</t>
        </is>
      </c>
      <c r="C41" s="10" t="inlineStr">
        <is>
          <t>supply chain</t>
        </is>
      </c>
      <c r="D41" s="9" t="inlineStr">
        <is>
          <t>Core</t>
        </is>
      </c>
      <c r="E41" s="9" t="inlineStr">
        <is>
          <t>Supply Chain Management</t>
        </is>
      </c>
      <c r="F41" s="9" t="n"/>
      <c r="G41" s="9">
        <f>IF(OR(E41="",E41="No SASB category"),"",IFERROR(INDEX('SASB categories'!$A$2:$A$27,MATCH(E41,'SASB categories'!$B$2:$B$27,0)),"check name"))</f>
        <v/>
      </c>
      <c r="H41" s="9" t="inlineStr">
        <is>
          <t>High</t>
        </is>
      </c>
      <c r="I41" s="9" t="n"/>
      <c r="J41" s="12" t="inlineStr">
        <is>
          <t>Yes</t>
        </is>
      </c>
      <c r="K41" s="12" t="n"/>
      <c r="L41" s="12" t="n"/>
    </row>
    <row r="42" ht="25.5" customHeight="1">
      <c r="A42" s="9" t="n">
        <v>41</v>
      </c>
      <c r="B42" s="9" t="inlineStr">
        <is>
          <t>Governance</t>
        </is>
      </c>
      <c r="C42" s="10" t="inlineStr">
        <is>
          <t>corporate governance</t>
        </is>
      </c>
      <c r="D42" s="9" t="inlineStr">
        <is>
          <t>Core</t>
        </is>
      </c>
      <c r="E42" s="9" t="inlineStr">
        <is>
          <t>No SASB category</t>
        </is>
      </c>
      <c r="F42" s="9" t="n"/>
      <c r="G42" s="9">
        <f>IF(OR(E42="",E42="No SASB category"),"",IFERROR(INDEX('SASB categories'!$A$2:$A$27,MATCH(E42,'SASB categories'!$B$2:$B$27,0)),"check name"))</f>
        <v/>
      </c>
      <c r="H42" s="9" t="inlineStr">
        <is>
          <t>High</t>
        </is>
      </c>
      <c r="I42" s="9" t="inlineStr">
        <is>
          <t>SASB leaves board and governance structure to other frameworks (GRI 2).</t>
        </is>
      </c>
      <c r="J42" s="12" t="inlineStr">
        <is>
          <t>Yes</t>
        </is>
      </c>
      <c r="K42" s="12" t="n"/>
      <c r="L42" s="12" t="n"/>
    </row>
    <row r="43">
      <c r="A43" s="9" t="n">
        <v>42</v>
      </c>
      <c r="B43" s="9" t="inlineStr">
        <is>
          <t>Governance</t>
        </is>
      </c>
      <c r="C43" s="10" t="inlineStr">
        <is>
          <t>governance</t>
        </is>
      </c>
      <c r="D43" s="9" t="inlineStr">
        <is>
          <t>Core</t>
        </is>
      </c>
      <c r="E43" s="9" t="inlineStr">
        <is>
          <t>No SASB category</t>
        </is>
      </c>
      <c r="F43" s="9" t="n"/>
      <c r="G43" s="9">
        <f>IF(OR(E43="",E43="No SASB category"),"",IFERROR(INDEX('SASB categories'!$A$2:$A$27,MATCH(E43,'SASB categories'!$B$2:$B$27,0)),"check name"))</f>
        <v/>
      </c>
      <c r="H43" s="9" t="inlineStr">
        <is>
          <t>High</t>
        </is>
      </c>
      <c r="I43" s="9" t="inlineStr">
        <is>
          <t>As above.</t>
        </is>
      </c>
      <c r="J43" s="12" t="inlineStr">
        <is>
          <t>Yes</t>
        </is>
      </c>
      <c r="K43" s="12" t="n"/>
      <c r="L43" s="12" t="n"/>
    </row>
    <row r="44">
      <c r="A44" s="9" t="n">
        <v>43</v>
      </c>
      <c r="B44" s="9" t="inlineStr">
        <is>
          <t>Governance</t>
        </is>
      </c>
      <c r="C44" s="10" t="inlineStr">
        <is>
          <t>board of directors</t>
        </is>
      </c>
      <c r="D44" s="9" t="inlineStr">
        <is>
          <t>Core</t>
        </is>
      </c>
      <c r="E44" s="9" t="inlineStr">
        <is>
          <t>No SASB category</t>
        </is>
      </c>
      <c r="F44" s="9" t="n"/>
      <c r="G44" s="9">
        <f>IF(OR(E44="",E44="No SASB category"),"",IFERROR(INDEX('SASB categories'!$A$2:$A$27,MATCH(E44,'SASB categories'!$B$2:$B$27,0)),"check name"))</f>
        <v/>
      </c>
      <c r="H44" s="9" t="inlineStr">
        <is>
          <t>High</t>
        </is>
      </c>
      <c r="I44" s="9" t="inlineStr">
        <is>
          <t>As above.</t>
        </is>
      </c>
      <c r="J44" s="12" t="inlineStr">
        <is>
          <t>Yes</t>
        </is>
      </c>
      <c r="K44" s="12" t="n"/>
      <c r="L44" s="12" t="n"/>
    </row>
    <row r="45">
      <c r="A45" s="9" t="n">
        <v>44</v>
      </c>
      <c r="B45" s="9" t="inlineStr">
        <is>
          <t>Governance</t>
        </is>
      </c>
      <c r="C45" s="10" t="inlineStr">
        <is>
          <t>board independence</t>
        </is>
      </c>
      <c r="D45" s="9" t="inlineStr">
        <is>
          <t>Core</t>
        </is>
      </c>
      <c r="E45" s="9" t="inlineStr">
        <is>
          <t>No SASB category</t>
        </is>
      </c>
      <c r="F45" s="9" t="n"/>
      <c r="G45" s="9">
        <f>IF(OR(E45="",E45="No SASB category"),"",IFERROR(INDEX('SASB categories'!$A$2:$A$27,MATCH(E45,'SASB categories'!$B$2:$B$27,0)),"check name"))</f>
        <v/>
      </c>
      <c r="H45" s="9" t="inlineStr">
        <is>
          <t>High</t>
        </is>
      </c>
      <c r="I45" s="9" t="inlineStr">
        <is>
          <t>As above.</t>
        </is>
      </c>
      <c r="J45" s="12" t="inlineStr">
        <is>
          <t>Yes</t>
        </is>
      </c>
      <c r="K45" s="12" t="n"/>
      <c r="L45" s="12" t="n"/>
    </row>
    <row r="46">
      <c r="A46" s="9" t="n">
        <v>45</v>
      </c>
      <c r="B46" s="9" t="inlineStr">
        <is>
          <t>Governance</t>
        </is>
      </c>
      <c r="C46" s="10" t="inlineStr">
        <is>
          <t>audit committee</t>
        </is>
      </c>
      <c r="D46" s="9" t="inlineStr">
        <is>
          <t>Core</t>
        </is>
      </c>
      <c r="E46" s="9" t="inlineStr">
        <is>
          <t>No SASB category</t>
        </is>
      </c>
      <c r="F46" s="9" t="n"/>
      <c r="G46" s="9">
        <f>IF(OR(E46="",E46="No SASB category"),"",IFERROR(INDEX('SASB categories'!$A$2:$A$27,MATCH(E46,'SASB categories'!$B$2:$B$27,0)),"check name"))</f>
        <v/>
      </c>
      <c r="H46" s="9" t="inlineStr">
        <is>
          <t>High</t>
        </is>
      </c>
      <c r="I46" s="9" t="inlineStr">
        <is>
          <t>As above.</t>
        </is>
      </c>
      <c r="J46" s="12" t="inlineStr">
        <is>
          <t>Yes</t>
        </is>
      </c>
      <c r="K46" s="12" t="n"/>
      <c r="L46" s="12" t="n"/>
    </row>
    <row r="47">
      <c r="A47" s="9" t="n">
        <v>46</v>
      </c>
      <c r="B47" s="9" t="inlineStr">
        <is>
          <t>Governance</t>
        </is>
      </c>
      <c r="C47" s="10" t="inlineStr">
        <is>
          <t>risk committee</t>
        </is>
      </c>
      <c r="D47" s="9" t="inlineStr">
        <is>
          <t>Core</t>
        </is>
      </c>
      <c r="E47" s="9" t="inlineStr">
        <is>
          <t>No SASB category</t>
        </is>
      </c>
      <c r="F47" s="9" t="n"/>
      <c r="G47" s="9">
        <f>IF(OR(E47="",E47="No SASB category"),"",IFERROR(INDEX('SASB categories'!$A$2:$A$27,MATCH(E47,'SASB categories'!$B$2:$B$27,0)),"check name"))</f>
        <v/>
      </c>
      <c r="H47" s="9" t="inlineStr">
        <is>
          <t>Medium</t>
        </is>
      </c>
      <c r="I47" s="9" t="inlineStr">
        <is>
          <t>For banks, arguably Systemic Risk Management.</t>
        </is>
      </c>
      <c r="J47" s="12" t="inlineStr">
        <is>
          <t>Yes</t>
        </is>
      </c>
      <c r="K47" s="12" t="n"/>
      <c r="L47" s="12" t="n"/>
    </row>
    <row r="48">
      <c r="A48" s="9" t="n">
        <v>47</v>
      </c>
      <c r="B48" s="9" t="inlineStr">
        <is>
          <t>Governance</t>
        </is>
      </c>
      <c r="C48" s="10" t="inlineStr">
        <is>
          <t>risk management</t>
        </is>
      </c>
      <c r="D48" s="9" t="inlineStr">
        <is>
          <t>Core</t>
        </is>
      </c>
      <c r="E48" s="9" t="inlineStr">
        <is>
          <t>No SASB category</t>
        </is>
      </c>
      <c r="F48" s="9" t="n"/>
      <c r="G48" s="9">
        <f>IF(OR(E48="",E48="No SASB category"),"",IFERROR(INDEX('SASB categories'!$A$2:$A$27,MATCH(E48,'SASB categories'!$B$2:$B$27,0)),"check name"))</f>
        <v/>
      </c>
      <c r="H48" s="9" t="inlineStr">
        <is>
          <t>Medium</t>
        </is>
      </c>
      <c r="I48" s="9" t="inlineStr">
        <is>
          <t>Too general; appears in nearly every report.</t>
        </is>
      </c>
      <c r="J48" s="12" t="inlineStr">
        <is>
          <t>Yes</t>
        </is>
      </c>
      <c r="K48" s="12" t="n"/>
      <c r="L48" s="12" t="n"/>
    </row>
    <row r="49" ht="25.5" customHeight="1">
      <c r="A49" s="9" t="n">
        <v>48</v>
      </c>
      <c r="B49" s="9" t="inlineStr">
        <is>
          <t>Governance</t>
        </is>
      </c>
      <c r="C49" s="10" t="inlineStr">
        <is>
          <t>code of conduct</t>
        </is>
      </c>
      <c r="D49" s="9" t="inlineStr">
        <is>
          <t>Core</t>
        </is>
      </c>
      <c r="E49" s="9" t="inlineStr">
        <is>
          <t>Business Ethics</t>
        </is>
      </c>
      <c r="F49" s="9" t="n"/>
      <c r="G49" s="9">
        <f>IF(OR(E49="",E49="No SASB category"),"",IFERROR(INDEX('SASB categories'!$A$2:$A$27,MATCH(E49,'SASB categories'!$B$2:$B$27,0)),"check name"))</f>
        <v/>
      </c>
      <c r="H49" s="9" t="inlineStr">
        <is>
          <t>High</t>
        </is>
      </c>
      <c r="I49" s="9" t="n"/>
      <c r="J49" s="12" t="inlineStr">
        <is>
          <t>Yes</t>
        </is>
      </c>
      <c r="K49" s="12" t="n"/>
      <c r="L49" s="12" t="n"/>
    </row>
    <row r="50" ht="25.5" customHeight="1">
      <c r="A50" s="9" t="n">
        <v>49</v>
      </c>
      <c r="B50" s="9" t="inlineStr">
        <is>
          <t>Governance</t>
        </is>
      </c>
      <c r="C50" s="10" t="inlineStr">
        <is>
          <t>whistleblower</t>
        </is>
      </c>
      <c r="D50" s="9" t="inlineStr">
        <is>
          <t>Core</t>
        </is>
      </c>
      <c r="E50" s="9" t="inlineStr">
        <is>
          <t>Business Ethics</t>
        </is>
      </c>
      <c r="F50" s="9" t="n"/>
      <c r="G50" s="9">
        <f>IF(OR(E50="",E50="No SASB category"),"",IFERROR(INDEX('SASB categories'!$A$2:$A$27,MATCH(E50,'SASB categories'!$B$2:$B$27,0)),"check name"))</f>
        <v/>
      </c>
      <c r="H50" s="9" t="inlineStr">
        <is>
          <t>High</t>
        </is>
      </c>
      <c r="I50" s="9" t="n"/>
      <c r="J50" s="12" t="inlineStr">
        <is>
          <t>Yes</t>
        </is>
      </c>
      <c r="K50" s="12" t="n"/>
      <c r="L50" s="12" t="n"/>
    </row>
    <row r="51" ht="25.5" customHeight="1">
      <c r="A51" s="9" t="n">
        <v>50</v>
      </c>
      <c r="B51" s="9" t="inlineStr">
        <is>
          <t>Governance</t>
        </is>
      </c>
      <c r="C51" s="10" t="inlineStr">
        <is>
          <t>anti-corruption</t>
        </is>
      </c>
      <c r="D51" s="9" t="inlineStr">
        <is>
          <t>Core</t>
        </is>
      </c>
      <c r="E51" s="9" t="inlineStr">
        <is>
          <t>Business Ethics</t>
        </is>
      </c>
      <c r="F51" s="9" t="n"/>
      <c r="G51" s="9">
        <f>IF(OR(E51="",E51="No SASB category"),"",IFERROR(INDEX('SASB categories'!$A$2:$A$27,MATCH(E51,'SASB categories'!$B$2:$B$27,0)),"check name"))</f>
        <v/>
      </c>
      <c r="H51" s="9" t="inlineStr">
        <is>
          <t>High</t>
        </is>
      </c>
      <c r="I51" s="9" t="n"/>
      <c r="J51" s="12" t="inlineStr">
        <is>
          <t>Yes</t>
        </is>
      </c>
      <c r="K51" s="12" t="n"/>
      <c r="L51" s="12" t="n"/>
    </row>
    <row r="52" ht="25.5" customHeight="1">
      <c r="A52" s="9" t="n">
        <v>51</v>
      </c>
      <c r="B52" s="9" t="inlineStr">
        <is>
          <t>Governance</t>
        </is>
      </c>
      <c r="C52" s="10" t="inlineStr">
        <is>
          <t>business ethics</t>
        </is>
      </c>
      <c r="D52" s="9" t="inlineStr">
        <is>
          <t>Core</t>
        </is>
      </c>
      <c r="E52" s="9" t="inlineStr">
        <is>
          <t>Business Ethics</t>
        </is>
      </c>
      <c r="F52" s="9" t="n"/>
      <c r="G52" s="9">
        <f>IF(OR(E52="",E52="No SASB category"),"",IFERROR(INDEX('SASB categories'!$A$2:$A$27,MATCH(E52,'SASB categories'!$B$2:$B$27,0)),"check name"))</f>
        <v/>
      </c>
      <c r="H52" s="9" t="inlineStr">
        <is>
          <t>High</t>
        </is>
      </c>
      <c r="I52" s="9" t="n"/>
      <c r="J52" s="12" t="inlineStr">
        <is>
          <t>Yes</t>
        </is>
      </c>
      <c r="K52" s="12" t="n"/>
      <c r="L52" s="12" t="n"/>
    </row>
    <row r="53">
      <c r="A53" s="9" t="n">
        <v>52</v>
      </c>
      <c r="B53" s="9" t="inlineStr">
        <is>
          <t>Governance</t>
        </is>
      </c>
      <c r="C53" s="10" t="inlineStr">
        <is>
          <t>executive compensation</t>
        </is>
      </c>
      <c r="D53" s="9" t="inlineStr">
        <is>
          <t>Core</t>
        </is>
      </c>
      <c r="E53" s="9" t="inlineStr">
        <is>
          <t>No SASB category</t>
        </is>
      </c>
      <c r="F53" s="9" t="n"/>
      <c r="G53" s="9">
        <f>IF(OR(E53="",E53="No SASB category"),"",IFERROR(INDEX('SASB categories'!$A$2:$A$27,MATCH(E53,'SASB categories'!$B$2:$B$27,0)),"check name"))</f>
        <v/>
      </c>
      <c r="H53" s="9" t="inlineStr">
        <is>
          <t>High</t>
        </is>
      </c>
      <c r="I53" s="9" t="inlineStr">
        <is>
          <t>Board and pay structure: outside SASB's scope.</t>
        </is>
      </c>
      <c r="J53" s="12" t="inlineStr">
        <is>
          <t>Yes</t>
        </is>
      </c>
      <c r="K53" s="12" t="n"/>
      <c r="L53" s="12" t="n"/>
    </row>
    <row r="54">
      <c r="A54" s="9" t="n">
        <v>53</v>
      </c>
      <c r="B54" s="9" t="inlineStr">
        <is>
          <t>Governance</t>
        </is>
      </c>
      <c r="C54" s="10" t="inlineStr">
        <is>
          <t>shareholder rights</t>
        </is>
      </c>
      <c r="D54" s="9" t="inlineStr">
        <is>
          <t>Core</t>
        </is>
      </c>
      <c r="E54" s="9" t="inlineStr">
        <is>
          <t>No SASB category</t>
        </is>
      </c>
      <c r="F54" s="9" t="n"/>
      <c r="G54" s="9">
        <f>IF(OR(E54="",E54="No SASB category"),"",IFERROR(INDEX('SASB categories'!$A$2:$A$27,MATCH(E54,'SASB categories'!$B$2:$B$27,0)),"check name"))</f>
        <v/>
      </c>
      <c r="H54" s="9" t="inlineStr">
        <is>
          <t>High</t>
        </is>
      </c>
      <c r="I54" s="9" t="inlineStr">
        <is>
          <t>As above.</t>
        </is>
      </c>
      <c r="J54" s="12" t="inlineStr">
        <is>
          <t>Yes</t>
        </is>
      </c>
      <c r="K54" s="12" t="n"/>
      <c r="L54" s="12" t="n"/>
    </row>
    <row r="55">
      <c r="A55" s="9" t="n">
        <v>54</v>
      </c>
      <c r="B55" s="9" t="inlineStr">
        <is>
          <t>Governance</t>
        </is>
      </c>
      <c r="C55" s="10" t="inlineStr">
        <is>
          <t>internal control</t>
        </is>
      </c>
      <c r="D55" s="9" t="inlineStr">
        <is>
          <t>Core</t>
        </is>
      </c>
      <c r="E55" s="9" t="inlineStr">
        <is>
          <t>No SASB category</t>
        </is>
      </c>
      <c r="F55" s="9" t="n"/>
      <c r="G55" s="9">
        <f>IF(OR(E55="",E55="No SASB category"),"",IFERROR(INDEX('SASB categories'!$A$2:$A$27,MATCH(E55,'SASB categories'!$B$2:$B$27,0)),"check name"))</f>
        <v/>
      </c>
      <c r="H55" s="9" t="inlineStr">
        <is>
          <t>High</t>
        </is>
      </c>
      <c r="I55" s="9" t="inlineStr">
        <is>
          <t>Financial-reporting controls: outside SASB's scope.</t>
        </is>
      </c>
      <c r="J55" s="12" t="inlineStr">
        <is>
          <t>Yes</t>
        </is>
      </c>
      <c r="K55" s="12" t="n"/>
      <c r="L55" s="12" t="n"/>
    </row>
    <row r="56" ht="25.5" customHeight="1">
      <c r="A56" s="9" t="n">
        <v>55</v>
      </c>
      <c r="B56" s="9" t="inlineStr">
        <is>
          <t>Governance</t>
        </is>
      </c>
      <c r="C56" s="10" t="inlineStr">
        <is>
          <t>internal control over financial reporting</t>
        </is>
      </c>
      <c r="D56" s="9" t="inlineStr">
        <is>
          <t>Core</t>
        </is>
      </c>
      <c r="E56" s="9" t="inlineStr">
        <is>
          <t>No SASB category</t>
        </is>
      </c>
      <c r="F56" s="9" t="n"/>
      <c r="G56" s="9">
        <f>IF(OR(E56="",E56="No SASB category"),"",IFERROR(INDEX('SASB categories'!$A$2:$A$27,MATCH(E56,'SASB categories'!$B$2:$B$27,0)),"check name"))</f>
        <v/>
      </c>
      <c r="H56" s="9" t="inlineStr">
        <is>
          <t>High</t>
        </is>
      </c>
      <c r="I56" s="9" t="inlineStr">
        <is>
          <t>As above.</t>
        </is>
      </c>
      <c r="J56" s="12" t="inlineStr">
        <is>
          <t>Yes</t>
        </is>
      </c>
      <c r="K56" s="12" t="n"/>
      <c r="L56" s="12" t="n"/>
    </row>
    <row r="57">
      <c r="A57" s="9" t="n">
        <v>56</v>
      </c>
      <c r="B57" s="9" t="inlineStr">
        <is>
          <t>Governance</t>
        </is>
      </c>
      <c r="C57" s="10" t="inlineStr">
        <is>
          <t>ICOFR</t>
        </is>
      </c>
      <c r="D57" s="9" t="inlineStr">
        <is>
          <t>Core</t>
        </is>
      </c>
      <c r="E57" s="9" t="inlineStr">
        <is>
          <t>No SASB category</t>
        </is>
      </c>
      <c r="F57" s="9" t="n"/>
      <c r="G57" s="9">
        <f>IF(OR(E57="",E57="No SASB category"),"",IFERROR(INDEX('SASB categories'!$A$2:$A$27,MATCH(E57,'SASB categories'!$B$2:$B$27,0)),"check name"))</f>
        <v/>
      </c>
      <c r="H57" s="9" t="inlineStr">
        <is>
          <t>High</t>
        </is>
      </c>
      <c r="I57" s="9" t="inlineStr">
        <is>
          <t>As above.</t>
        </is>
      </c>
      <c r="J57" s="12" t="inlineStr">
        <is>
          <t>Yes</t>
        </is>
      </c>
      <c r="K57" s="12" t="n"/>
      <c r="L57" s="12" t="n"/>
    </row>
    <row r="58">
      <c r="A58" s="9" t="n">
        <v>57</v>
      </c>
      <c r="B58" s="9" t="inlineStr">
        <is>
          <t>Governance</t>
        </is>
      </c>
      <c r="C58" s="10" t="inlineStr">
        <is>
          <t>material weakness</t>
        </is>
      </c>
      <c r="D58" s="9" t="inlineStr">
        <is>
          <t>Core</t>
        </is>
      </c>
      <c r="E58" s="9" t="inlineStr">
        <is>
          <t>No SASB category</t>
        </is>
      </c>
      <c r="F58" s="9" t="n"/>
      <c r="G58" s="9">
        <f>IF(OR(E58="",E58="No SASB category"),"",IFERROR(INDEX('SASB categories'!$A$2:$A$27,MATCH(E58,'SASB categories'!$B$2:$B$27,0)),"check name"))</f>
        <v/>
      </c>
      <c r="H58" s="9" t="inlineStr">
        <is>
          <t>High</t>
        </is>
      </c>
      <c r="I58" s="9" t="inlineStr">
        <is>
          <t>As above.</t>
        </is>
      </c>
      <c r="J58" s="12" t="inlineStr">
        <is>
          <t>Yes</t>
        </is>
      </c>
      <c r="K58" s="12" t="n"/>
      <c r="L58" s="12" t="n"/>
    </row>
    <row r="59" ht="25.5" customHeight="1">
      <c r="A59" s="9" t="n">
        <v>58</v>
      </c>
      <c r="B59" s="9" t="inlineStr">
        <is>
          <t>Governance</t>
        </is>
      </c>
      <c r="C59" s="10" t="inlineStr">
        <is>
          <t>IT general control</t>
        </is>
      </c>
      <c r="D59" s="9" t="inlineStr">
        <is>
          <t>Core</t>
        </is>
      </c>
      <c r="E59" s="9" t="inlineStr">
        <is>
          <t>No SASB category</t>
        </is>
      </c>
      <c r="F59" s="9" t="n"/>
      <c r="G59" s="9">
        <f>IF(OR(E59="",E59="No SASB category"),"",IFERROR(INDEX('SASB categories'!$A$2:$A$27,MATCH(E59,'SASB categories'!$B$2:$B$27,0)),"check name"))</f>
        <v/>
      </c>
      <c r="H59" s="9" t="inlineStr">
        <is>
          <t>Medium</t>
        </is>
      </c>
      <c r="I59" s="9" t="inlineStr">
        <is>
          <t>Controls over financial IT systems, not data security as SASB defines it.</t>
        </is>
      </c>
      <c r="J59" s="12" t="inlineStr">
        <is>
          <t>Yes</t>
        </is>
      </c>
      <c r="K59" s="12" t="n"/>
      <c r="L59" s="12" t="n"/>
    </row>
    <row r="60">
      <c r="A60" s="9" t="n">
        <v>59</v>
      </c>
      <c r="B60" s="9" t="inlineStr">
        <is>
          <t>Governance</t>
        </is>
      </c>
      <c r="C60" s="10" t="inlineStr">
        <is>
          <t>ITGC</t>
        </is>
      </c>
      <c r="D60" s="9" t="inlineStr">
        <is>
          <t>Core</t>
        </is>
      </c>
      <c r="E60" s="9" t="inlineStr">
        <is>
          <t>No SASB category</t>
        </is>
      </c>
      <c r="F60" s="9" t="n"/>
      <c r="G60" s="9">
        <f>IF(OR(E60="",E60="No SASB category"),"",IFERROR(INDEX('SASB categories'!$A$2:$A$27,MATCH(E60,'SASB categories'!$B$2:$B$27,0)),"check name"))</f>
        <v/>
      </c>
      <c r="H60" s="9" t="inlineStr">
        <is>
          <t>Medium</t>
        </is>
      </c>
      <c r="I60" s="9" t="inlineStr">
        <is>
          <t>As above.</t>
        </is>
      </c>
      <c r="J60" s="12" t="inlineStr">
        <is>
          <t>Yes</t>
        </is>
      </c>
      <c r="K60" s="12" t="n"/>
      <c r="L60" s="12" t="n"/>
    </row>
    <row r="61">
      <c r="A61" s="9" t="n">
        <v>60</v>
      </c>
      <c r="B61" s="9" t="inlineStr">
        <is>
          <t>Governance</t>
        </is>
      </c>
      <c r="C61" s="10" t="inlineStr">
        <is>
          <t>IT governance</t>
        </is>
      </c>
      <c r="D61" s="9" t="inlineStr">
        <is>
          <t>Core</t>
        </is>
      </c>
      <c r="E61" s="9" t="inlineStr">
        <is>
          <t>Data Security</t>
        </is>
      </c>
      <c r="F61" s="9" t="n"/>
      <c r="G61" s="9">
        <f>IF(OR(E61="",E61="No SASB category"),"",IFERROR(INDEX('SASB categories'!$A$2:$A$27,MATCH(E61,'SASB categories'!$B$2:$B$27,0)),"check name"))</f>
        <v/>
      </c>
      <c r="H61" s="20" t="inlineStr">
        <is>
          <t>Low</t>
        </is>
      </c>
      <c r="I61" s="9" t="n"/>
      <c r="J61" s="12" t="inlineStr">
        <is>
          <t>Yes</t>
        </is>
      </c>
      <c r="K61" s="12" t="n"/>
      <c r="L61" s="12" t="n"/>
    </row>
    <row r="62">
      <c r="A62" s="9" t="n">
        <v>61</v>
      </c>
      <c r="B62" s="9" t="inlineStr">
        <is>
          <t>Governance</t>
        </is>
      </c>
      <c r="C62" s="10" t="inlineStr">
        <is>
          <t>information security</t>
        </is>
      </c>
      <c r="D62" s="9" t="inlineStr">
        <is>
          <t>Core</t>
        </is>
      </c>
      <c r="E62" s="9" t="inlineStr">
        <is>
          <t>Data Security</t>
        </is>
      </c>
      <c r="F62" s="9" t="n"/>
      <c r="G62" s="9">
        <f>IF(OR(E62="",E62="No SASB category"),"",IFERROR(INDEX('SASB categories'!$A$2:$A$27,MATCH(E62,'SASB categories'!$B$2:$B$27,0)),"check name"))</f>
        <v/>
      </c>
      <c r="H62" s="9" t="inlineStr">
        <is>
          <t>High</t>
        </is>
      </c>
      <c r="I62" s="9" t="n"/>
      <c r="J62" s="12" t="inlineStr">
        <is>
          <t>Yes</t>
        </is>
      </c>
      <c r="K62" s="12" t="n"/>
      <c r="L62" s="12" t="n"/>
    </row>
    <row r="63">
      <c r="A63" s="9" t="n">
        <v>62</v>
      </c>
      <c r="B63" s="9" t="inlineStr">
        <is>
          <t>Governance</t>
        </is>
      </c>
      <c r="C63" s="10" t="inlineStr">
        <is>
          <t>cybersecurity</t>
        </is>
      </c>
      <c r="D63" s="9" t="inlineStr">
        <is>
          <t>Core</t>
        </is>
      </c>
      <c r="E63" s="9" t="inlineStr">
        <is>
          <t>Data Security</t>
        </is>
      </c>
      <c r="F63" s="9" t="n"/>
      <c r="G63" s="9">
        <f>IF(OR(E63="",E63="No SASB category"),"",IFERROR(INDEX('SASB categories'!$A$2:$A$27,MATCH(E63,'SASB categories'!$B$2:$B$27,0)),"check name"))</f>
        <v/>
      </c>
      <c r="H63" s="9" t="inlineStr">
        <is>
          <t>High</t>
        </is>
      </c>
      <c r="I63" s="9" t="n"/>
      <c r="J63" s="12" t="inlineStr">
        <is>
          <t>Yes</t>
        </is>
      </c>
      <c r="K63" s="12" t="n"/>
      <c r="L63" s="12" t="n"/>
    </row>
    <row r="64">
      <c r="A64" s="9" t="n">
        <v>63</v>
      </c>
      <c r="B64" s="9" t="inlineStr">
        <is>
          <t>Governance</t>
        </is>
      </c>
      <c r="C64" s="10" t="inlineStr">
        <is>
          <t>data protection</t>
        </is>
      </c>
      <c r="D64" s="9" t="inlineStr">
        <is>
          <t>Core</t>
        </is>
      </c>
      <c r="E64" s="9" t="inlineStr">
        <is>
          <t>Customer Privacy</t>
        </is>
      </c>
      <c r="F64" s="9" t="inlineStr">
        <is>
          <t>Data Security</t>
        </is>
      </c>
      <c r="G64" s="9">
        <f>IF(OR(E64="",E64="No SASB category"),"",IFERROR(INDEX('SASB categories'!$A$2:$A$27,MATCH(E64,'SASB categories'!$B$2:$B$27,0)),"check name"))</f>
        <v/>
      </c>
      <c r="H64" s="9" t="inlineStr">
        <is>
          <t>High</t>
        </is>
      </c>
      <c r="I64" s="9" t="n"/>
      <c r="J64" s="12" t="inlineStr">
        <is>
          <t>Yes</t>
        </is>
      </c>
      <c r="K64" s="12" t="n"/>
      <c r="L64" s="12" t="n"/>
    </row>
    <row r="65" ht="25.5" customHeight="1">
      <c r="A65" s="9" t="n">
        <v>64</v>
      </c>
      <c r="B65" s="9" t="inlineStr">
        <is>
          <t>Governance</t>
        </is>
      </c>
      <c r="C65" s="10" t="inlineStr">
        <is>
          <t>fraud</t>
        </is>
      </c>
      <c r="D65" s="9" t="inlineStr">
        <is>
          <t>Core</t>
        </is>
      </c>
      <c r="E65" s="9" t="inlineStr">
        <is>
          <t>Business Ethics</t>
        </is>
      </c>
      <c r="F65" s="9" t="n"/>
      <c r="G65" s="9">
        <f>IF(OR(E65="",E65="No SASB category"),"",IFERROR(INDEX('SASB categories'!$A$2:$A$27,MATCH(E65,'SASB categories'!$B$2:$B$27,0)),"check name"))</f>
        <v/>
      </c>
      <c r="H65" s="9" t="inlineStr">
        <is>
          <t>Medium</t>
        </is>
      </c>
      <c r="I65" s="9" t="n"/>
      <c r="J65" s="12" t="inlineStr">
        <is>
          <t>Yes</t>
        </is>
      </c>
      <c r="K65" s="12" t="n"/>
      <c r="L65" s="12" t="n"/>
    </row>
    <row r="66">
      <c r="A66" s="9" t="n">
        <v>65</v>
      </c>
      <c r="B66" s="9" t="inlineStr">
        <is>
          <t>Governance</t>
        </is>
      </c>
      <c r="C66" s="10" t="inlineStr">
        <is>
          <t>remuneration committee</t>
        </is>
      </c>
      <c r="D66" s="9" t="inlineStr">
        <is>
          <t>Core</t>
        </is>
      </c>
      <c r="E66" s="9" t="inlineStr">
        <is>
          <t>No SASB category</t>
        </is>
      </c>
      <c r="F66" s="9" t="n"/>
      <c r="G66" s="9">
        <f>IF(OR(E66="",E66="No SASB category"),"",IFERROR(INDEX('SASB categories'!$A$2:$A$27,MATCH(E66,'SASB categories'!$B$2:$B$27,0)),"check name"))</f>
        <v/>
      </c>
      <c r="H66" s="9" t="inlineStr">
        <is>
          <t>High</t>
        </is>
      </c>
      <c r="I66" s="9" t="inlineStr">
        <is>
          <t>Board and pay structure: outside SASB's scope.</t>
        </is>
      </c>
      <c r="J66" s="12" t="inlineStr">
        <is>
          <t>Yes</t>
        </is>
      </c>
      <c r="K66" s="12" t="n"/>
      <c r="L66" s="12" t="n"/>
    </row>
    <row r="67">
      <c r="A67" s="9" t="n">
        <v>66</v>
      </c>
      <c r="B67" s="9" t="inlineStr">
        <is>
          <t>Governance</t>
        </is>
      </c>
      <c r="C67" s="10" t="inlineStr">
        <is>
          <t>ESG committee</t>
        </is>
      </c>
      <c r="D67" s="9" t="inlineStr">
        <is>
          <t>Core</t>
        </is>
      </c>
      <c r="E67" s="9" t="inlineStr">
        <is>
          <t>No SASB category</t>
        </is>
      </c>
      <c r="F67" s="9" t="n"/>
      <c r="G67" s="9">
        <f>IF(OR(E67="",E67="No SASB category"),"",IFERROR(INDEX('SASB categories'!$A$2:$A$27,MATCH(E67,'SASB categories'!$B$2:$B$27,0)),"check name"))</f>
        <v/>
      </c>
      <c r="H67" s="9" t="inlineStr">
        <is>
          <t>High</t>
        </is>
      </c>
      <c r="I67" s="9" t="inlineStr">
        <is>
          <t>Governance structure: outside SASB's scope.</t>
        </is>
      </c>
      <c r="J67" s="12" t="inlineStr">
        <is>
          <t>Yes</t>
        </is>
      </c>
      <c r="K67" s="12" t="n"/>
      <c r="L67" s="12" t="n"/>
    </row>
    <row r="68" ht="25.5" customHeight="1">
      <c r="A68" s="15" t="n">
        <v>67</v>
      </c>
      <c r="B68" s="15" t="inlineStr">
        <is>
          <t>Governance</t>
        </is>
      </c>
      <c r="C68" s="16" t="inlineStr">
        <is>
          <t>anti-money laundering</t>
        </is>
      </c>
      <c r="D68" s="15" t="inlineStr">
        <is>
          <t>Financial add-on</t>
        </is>
      </c>
      <c r="E68" s="15" t="inlineStr">
        <is>
          <t>Business Ethics</t>
        </is>
      </c>
      <c r="F68" s="15" t="n"/>
      <c r="G68" s="15">
        <f>IF(OR(E68="",E68="No SASB category"),"",IFERROR(INDEX('SASB categories'!$A$2:$A$27,MATCH(E68,'SASB categories'!$B$2:$B$27,0)),"check name"))</f>
        <v/>
      </c>
      <c r="H68" s="15" t="inlineStr">
        <is>
          <t>Medium</t>
        </is>
      </c>
      <c r="I68" s="15" t="inlineStr">
        <is>
          <t>Mainly a financial-sector obligation; part of SASB's Business Ethics topic for banks.</t>
        </is>
      </c>
      <c r="J68" s="12" t="inlineStr">
        <is>
          <t>Yes</t>
        </is>
      </c>
      <c r="K68" s="12" t="n"/>
      <c r="L68" s="12" t="n"/>
    </row>
  </sheetData>
  <autoFilter ref="A1:L68"/>
  <dataValidations count="1">
    <dataValidation sqref="J2:J68"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169"/>
  <sheetViews>
    <sheetView zoomScaleNormal="100" workbookViewId="0">
      <pane xSplit="1" ySplit="1" topLeftCell="B150" activePane="bottomRight" state="frozen"/>
      <selection pane="topRight" activeCell="B1" sqref="B1"/>
      <selection pane="bottomLeft" activeCell="A2" sqref="A2"/>
      <selection pane="bottomRight" activeCell="F2" sqref="F2:F169"/>
    </sheetView>
  </sheetViews>
  <sheetFormatPr baseColWidth="8" defaultColWidth="8.7109375" defaultRowHeight="15"/>
  <cols>
    <col width="34" customWidth="1" min="1" max="1"/>
    <col width="50" customWidth="1" min="2" max="2"/>
    <col width="40" customWidth="1" min="3" max="3"/>
    <col width="14" customWidth="1" min="4" max="4"/>
    <col width="12" customWidth="1" min="5" max="5"/>
    <col width="14" customWidth="1" min="6" max="6"/>
    <col width="40" customWidth="1" min="7" max="7"/>
  </cols>
  <sheetData>
    <row r="1" ht="31.5" customHeight="1">
      <c r="A1" s="7" t="inlineStr">
        <is>
          <t>SASB industry</t>
        </is>
      </c>
      <c r="B1" s="7" t="inlineStr">
        <is>
          <t>SASB disclosure topic</t>
        </is>
      </c>
      <c r="C1" s="7" t="inlineStr">
        <is>
          <t>SASB category (General Issue Category)</t>
        </is>
      </c>
      <c r="D1" s="7" t="inlineStr">
        <is>
          <t>Confidence in category placement</t>
        </is>
      </c>
      <c r="E1" s="7" t="inlineStr">
        <is>
          <t>Companies in our sample</t>
        </is>
      </c>
      <c r="F1" s="8" t="inlineStr">
        <is>
          <t>Checked in SASB Navigator?</t>
        </is>
      </c>
      <c r="G1" s="8" t="inlineStr">
        <is>
          <t>Comment</t>
        </is>
      </c>
    </row>
    <row r="2">
      <c r="A2" s="10" t="inlineStr">
        <is>
          <t>Commercial Banks</t>
        </is>
      </c>
      <c r="B2" s="9" t="inlineStr">
        <is>
          <t>Data Security</t>
        </is>
      </c>
      <c r="C2" s="9" t="inlineStr">
        <is>
          <t>Data Security</t>
        </is>
      </c>
      <c r="D2" s="11" t="inlineStr">
        <is>
          <t>High</t>
        </is>
      </c>
      <c r="E2" s="11">
        <f>COUNTIF('Company industries'!$H$2:$H$66,A2)</f>
        <v/>
      </c>
      <c r="F2" s="12" t="inlineStr">
        <is>
          <t>Yes</t>
        </is>
      </c>
      <c r="G2" s="12" t="n"/>
    </row>
    <row r="3">
      <c r="A3" s="10" t="inlineStr">
        <is>
          <t>Commercial Banks</t>
        </is>
      </c>
      <c r="B3" s="9" t="inlineStr">
        <is>
          <t>Financial Inclusion &amp; Capacity Building</t>
        </is>
      </c>
      <c r="C3" s="9" t="inlineStr">
        <is>
          <t>Access &amp; Affordability</t>
        </is>
      </c>
      <c r="D3" s="11" t="inlineStr">
        <is>
          <t>High</t>
        </is>
      </c>
      <c r="E3" s="11">
        <f>COUNTIF('Company industries'!$H$2:$H$66,A3)</f>
        <v/>
      </c>
      <c r="F3" s="12" t="inlineStr">
        <is>
          <t>Yes</t>
        </is>
      </c>
      <c r="G3" s="12" t="n"/>
    </row>
    <row r="4">
      <c r="A4" s="10" t="inlineStr">
        <is>
          <t>Commercial Banks</t>
        </is>
      </c>
      <c r="B4" s="9" t="inlineStr">
        <is>
          <t>Incorporation of ESG Factors in Credit Analysis</t>
        </is>
      </c>
      <c r="C4" s="9" t="inlineStr">
        <is>
          <t>Product Design &amp; Lifecycle Management</t>
        </is>
      </c>
      <c r="D4" s="11" t="inlineStr">
        <is>
          <t>Medium</t>
        </is>
      </c>
      <c r="E4" s="11">
        <f>COUNTIF('Company industries'!$H$2:$H$66,A4)</f>
        <v/>
      </c>
      <c r="F4" s="12" t="inlineStr">
        <is>
          <t>Yes</t>
        </is>
      </c>
      <c r="G4" s="12" t="n"/>
    </row>
    <row r="5">
      <c r="A5" s="10" t="inlineStr">
        <is>
          <t>Commercial Banks</t>
        </is>
      </c>
      <c r="B5" s="9" t="inlineStr">
        <is>
          <t>Financed Emissions</t>
        </is>
      </c>
      <c r="C5" s="9" t="inlineStr">
        <is>
          <t>GHG Emissions</t>
        </is>
      </c>
      <c r="D5" s="11" t="inlineStr">
        <is>
          <t>Medium</t>
        </is>
      </c>
      <c r="E5" s="11">
        <f>COUNTIF('Company industries'!$H$2:$H$66,A5)</f>
        <v/>
      </c>
      <c r="F5" s="12" t="inlineStr">
        <is>
          <t>Yes</t>
        </is>
      </c>
      <c r="G5" s="12" t="n"/>
    </row>
    <row r="6">
      <c r="A6" s="10" t="inlineStr">
        <is>
          <t>Commercial Banks</t>
        </is>
      </c>
      <c r="B6" s="9" t="inlineStr">
        <is>
          <t>Business Ethics</t>
        </is>
      </c>
      <c r="C6" s="9" t="inlineStr">
        <is>
          <t>Business Ethics</t>
        </is>
      </c>
      <c r="D6" s="11" t="inlineStr">
        <is>
          <t>High</t>
        </is>
      </c>
      <c r="E6" s="11">
        <f>COUNTIF('Company industries'!$H$2:$H$66,A6)</f>
        <v/>
      </c>
      <c r="F6" s="12" t="inlineStr">
        <is>
          <t>Yes</t>
        </is>
      </c>
      <c r="G6" s="12" t="n"/>
    </row>
    <row r="7">
      <c r="A7" s="10" t="inlineStr">
        <is>
          <t>Commercial Banks</t>
        </is>
      </c>
      <c r="B7" s="9" t="inlineStr">
        <is>
          <t>Systemic Risk Management</t>
        </is>
      </c>
      <c r="C7" s="9" t="inlineStr">
        <is>
          <t>Systemic Risk Management</t>
        </is>
      </c>
      <c r="D7" s="11" t="inlineStr">
        <is>
          <t>High</t>
        </is>
      </c>
      <c r="E7" s="11">
        <f>COUNTIF('Company industries'!$H$2:$H$66,A7)</f>
        <v/>
      </c>
      <c r="F7" s="12" t="inlineStr">
        <is>
          <t>Yes</t>
        </is>
      </c>
      <c r="G7" s="12" t="n"/>
    </row>
    <row r="8" ht="25.5" customHeight="1">
      <c r="A8" s="10" t="inlineStr">
        <is>
          <t>Asset Management &amp; Custody Activities</t>
        </is>
      </c>
      <c r="B8" s="9" t="inlineStr">
        <is>
          <t>Transparent Information &amp; Fair Advice for Customers</t>
        </is>
      </c>
      <c r="C8" s="9" t="inlineStr">
        <is>
          <t>Selling Practices &amp; Product Labeling</t>
        </is>
      </c>
      <c r="D8" s="11" t="inlineStr">
        <is>
          <t>High</t>
        </is>
      </c>
      <c r="E8" s="11">
        <f>COUNTIF('Company industries'!$H$2:$H$66,A8)</f>
        <v/>
      </c>
      <c r="F8" s="12" t="inlineStr">
        <is>
          <t>Yes</t>
        </is>
      </c>
      <c r="G8" s="12" t="n"/>
    </row>
    <row r="9" ht="25.5" customHeight="1">
      <c r="A9" s="10" t="inlineStr">
        <is>
          <t>Asset Management &amp; Custody Activities</t>
        </is>
      </c>
      <c r="B9" s="9" t="inlineStr">
        <is>
          <t>Employee Diversity &amp; Inclusion</t>
        </is>
      </c>
      <c r="C9" s="9" t="inlineStr">
        <is>
          <t>Employee Engagement, Diversity &amp; Inclusion</t>
        </is>
      </c>
      <c r="D9" s="11" t="inlineStr">
        <is>
          <t>High</t>
        </is>
      </c>
      <c r="E9" s="11">
        <f>COUNTIF('Company industries'!$H$2:$H$66,A9)</f>
        <v/>
      </c>
      <c r="F9" s="12" t="inlineStr">
        <is>
          <t>Yes</t>
        </is>
      </c>
      <c r="G9" s="12" t="n"/>
    </row>
    <row r="10" ht="25.5" customHeight="1">
      <c r="A10" s="10" t="inlineStr">
        <is>
          <t>Asset Management &amp; Custody Activities</t>
        </is>
      </c>
      <c r="B10" s="9" t="inlineStr">
        <is>
          <t>Incorporation of ESG Factors in Investment Management &amp; Advisory</t>
        </is>
      </c>
      <c r="C10" s="9" t="inlineStr">
        <is>
          <t>Product Design &amp; Lifecycle Management</t>
        </is>
      </c>
      <c r="D10" s="11" t="inlineStr">
        <is>
          <t>Medium</t>
        </is>
      </c>
      <c r="E10" s="11">
        <f>COUNTIF('Company industries'!$H$2:$H$66,A10)</f>
        <v/>
      </c>
      <c r="F10" s="12" t="inlineStr">
        <is>
          <t>Yes</t>
        </is>
      </c>
      <c r="G10" s="12" t="n"/>
    </row>
    <row r="11" ht="25.5" customHeight="1">
      <c r="A11" s="10" t="inlineStr">
        <is>
          <t>Asset Management &amp; Custody Activities</t>
        </is>
      </c>
      <c r="B11" s="9" t="inlineStr">
        <is>
          <t>Business Ethics</t>
        </is>
      </c>
      <c r="C11" s="9" t="inlineStr">
        <is>
          <t>Business Ethics</t>
        </is>
      </c>
      <c r="D11" s="11" t="inlineStr">
        <is>
          <t>High</t>
        </is>
      </c>
      <c r="E11" s="11">
        <f>COUNTIF('Company industries'!$H$2:$H$66,A11)</f>
        <v/>
      </c>
      <c r="F11" s="12" t="inlineStr">
        <is>
          <t>Yes</t>
        </is>
      </c>
      <c r="G11" s="12" t="n"/>
    </row>
    <row r="12" ht="25.5" customHeight="1">
      <c r="A12" s="10" t="inlineStr">
        <is>
          <t>Asset Management &amp; Custody Activities</t>
        </is>
      </c>
      <c r="B12" s="9" t="inlineStr">
        <is>
          <t>Systemic Risk Management</t>
        </is>
      </c>
      <c r="C12" s="9" t="inlineStr">
        <is>
          <t>Systemic Risk Management</t>
        </is>
      </c>
      <c r="D12" s="11" t="inlineStr">
        <is>
          <t>High</t>
        </is>
      </c>
      <c r="E12" s="11">
        <f>COUNTIF('Company industries'!$H$2:$H$66,A12)</f>
        <v/>
      </c>
      <c r="F12" s="12" t="inlineStr">
        <is>
          <t>Yes</t>
        </is>
      </c>
      <c r="G12" s="12" t="n"/>
    </row>
    <row r="13">
      <c r="A13" s="10" t="inlineStr">
        <is>
          <t>Telecommunication Services</t>
        </is>
      </c>
      <c r="B13" s="9" t="inlineStr">
        <is>
          <t>Environmental Footprint of Operations</t>
        </is>
      </c>
      <c r="C13" s="9" t="inlineStr">
        <is>
          <t>Energy Management</t>
        </is>
      </c>
      <c r="D13" s="11" t="inlineStr">
        <is>
          <t>High</t>
        </is>
      </c>
      <c r="E13" s="11">
        <f>COUNTIF('Company industries'!$H$2:$H$66,A13)</f>
        <v/>
      </c>
      <c r="F13" s="12" t="inlineStr">
        <is>
          <t>Yes</t>
        </is>
      </c>
      <c r="G13" s="12" t="n"/>
    </row>
    <row r="14">
      <c r="A14" s="10" t="inlineStr">
        <is>
          <t>Telecommunication Services</t>
        </is>
      </c>
      <c r="B14" s="9" t="inlineStr">
        <is>
          <t>Data Privacy</t>
        </is>
      </c>
      <c r="C14" s="9" t="inlineStr">
        <is>
          <t>Customer Privacy</t>
        </is>
      </c>
      <c r="D14" s="11" t="inlineStr">
        <is>
          <t>High</t>
        </is>
      </c>
      <c r="E14" s="11">
        <f>COUNTIF('Company industries'!$H$2:$H$66,A14)</f>
        <v/>
      </c>
      <c r="F14" s="12" t="inlineStr">
        <is>
          <t>Yes</t>
        </is>
      </c>
      <c r="G14" s="12" t="n"/>
    </row>
    <row r="15">
      <c r="A15" s="10" t="inlineStr">
        <is>
          <t>Telecommunication Services</t>
        </is>
      </c>
      <c r="B15" s="9" t="inlineStr">
        <is>
          <t>Data Security</t>
        </is>
      </c>
      <c r="C15" s="9" t="inlineStr">
        <is>
          <t>Data Security</t>
        </is>
      </c>
      <c r="D15" s="11" t="inlineStr">
        <is>
          <t>High</t>
        </is>
      </c>
      <c r="E15" s="11">
        <f>COUNTIF('Company industries'!$H$2:$H$66,A15)</f>
        <v/>
      </c>
      <c r="F15" s="12" t="inlineStr">
        <is>
          <t>Yes</t>
        </is>
      </c>
      <c r="G15" s="12" t="n"/>
    </row>
    <row r="16">
      <c r="A16" s="10" t="inlineStr">
        <is>
          <t>Telecommunication Services</t>
        </is>
      </c>
      <c r="B16" s="9" t="inlineStr">
        <is>
          <t>Product End-of-life Management</t>
        </is>
      </c>
      <c r="C16" s="9" t="inlineStr">
        <is>
          <t>Product Design &amp; Lifecycle Management</t>
        </is>
      </c>
      <c r="D16" s="11" t="inlineStr">
        <is>
          <t>Medium</t>
        </is>
      </c>
      <c r="E16" s="11">
        <f>COUNTIF('Company industries'!$H$2:$H$66,A16)</f>
        <v/>
      </c>
      <c r="F16" s="12" t="inlineStr">
        <is>
          <t>Yes</t>
        </is>
      </c>
      <c r="G16" s="12" t="n"/>
    </row>
    <row r="17">
      <c r="A17" s="10" t="inlineStr">
        <is>
          <t>Telecommunication Services</t>
        </is>
      </c>
      <c r="B17" s="9" t="inlineStr">
        <is>
          <t>Competitive Behaviour &amp; Open Internet</t>
        </is>
      </c>
      <c r="C17" s="9" t="inlineStr">
        <is>
          <t>Competitive Behavior</t>
        </is>
      </c>
      <c r="D17" s="11" t="inlineStr">
        <is>
          <t>High</t>
        </is>
      </c>
      <c r="E17" s="11">
        <f>COUNTIF('Company industries'!$H$2:$H$66,A17)</f>
        <v/>
      </c>
      <c r="F17" s="12" t="inlineStr">
        <is>
          <t>Yes</t>
        </is>
      </c>
      <c r="G17" s="12" t="n"/>
    </row>
    <row r="18">
      <c r="A18" s="10" t="inlineStr">
        <is>
          <t>Telecommunication Services</t>
        </is>
      </c>
      <c r="B18" s="9" t="inlineStr">
        <is>
          <t>Managing Systemic Risks from Technology Disruptions</t>
        </is>
      </c>
      <c r="C18" s="9" t="inlineStr">
        <is>
          <t>Systemic Risk Management</t>
        </is>
      </c>
      <c r="D18" s="11" t="inlineStr">
        <is>
          <t>Medium</t>
        </is>
      </c>
      <c r="E18" s="11">
        <f>COUNTIF('Company industries'!$H$2:$H$66,A18)</f>
        <v/>
      </c>
      <c r="F18" s="12" t="inlineStr">
        <is>
          <t>Yes</t>
        </is>
      </c>
      <c r="G18" s="12" t="n"/>
    </row>
    <row r="19">
      <c r="A19" s="10" t="inlineStr">
        <is>
          <t>Chemicals</t>
        </is>
      </c>
      <c r="B19" s="9" t="inlineStr">
        <is>
          <t>GHG Emissions</t>
        </is>
      </c>
      <c r="C19" s="9" t="inlineStr">
        <is>
          <t>GHG Emissions</t>
        </is>
      </c>
      <c r="D19" s="11" t="inlineStr">
        <is>
          <t>High</t>
        </is>
      </c>
      <c r="E19" s="11">
        <f>COUNTIF('Company industries'!$H$2:$H$66,A19)</f>
        <v/>
      </c>
      <c r="F19" s="12" t="inlineStr">
        <is>
          <t>Yes</t>
        </is>
      </c>
      <c r="G19" s="12" t="n"/>
    </row>
    <row r="20">
      <c r="A20" s="10" t="inlineStr">
        <is>
          <t>Chemicals</t>
        </is>
      </c>
      <c r="B20" s="9" t="inlineStr">
        <is>
          <t>Air Quality</t>
        </is>
      </c>
      <c r="C20" s="9" t="inlineStr">
        <is>
          <t>Air Quality</t>
        </is>
      </c>
      <c r="D20" s="11" t="inlineStr">
        <is>
          <t>High</t>
        </is>
      </c>
      <c r="E20" s="11">
        <f>COUNTIF('Company industries'!$H$2:$H$66,A20)</f>
        <v/>
      </c>
      <c r="F20" s="12" t="inlineStr">
        <is>
          <t>Yes</t>
        </is>
      </c>
      <c r="G20" s="12" t="n"/>
    </row>
    <row r="21">
      <c r="A21" s="10" t="inlineStr">
        <is>
          <t>Chemicals</t>
        </is>
      </c>
      <c r="B21" s="9" t="inlineStr">
        <is>
          <t>Energy Management</t>
        </is>
      </c>
      <c r="C21" s="9" t="inlineStr">
        <is>
          <t>Energy Management</t>
        </is>
      </c>
      <c r="D21" s="11" t="inlineStr">
        <is>
          <t>High</t>
        </is>
      </c>
      <c r="E21" s="11">
        <f>COUNTIF('Company industries'!$H$2:$H$66,A21)</f>
        <v/>
      </c>
      <c r="F21" s="12" t="inlineStr">
        <is>
          <t>Yes</t>
        </is>
      </c>
      <c r="G21" s="12" t="n"/>
    </row>
    <row r="22">
      <c r="A22" s="10" t="inlineStr">
        <is>
          <t>Chemicals</t>
        </is>
      </c>
      <c r="B22" s="9" t="inlineStr">
        <is>
          <t>Water Management</t>
        </is>
      </c>
      <c r="C22" s="9" t="inlineStr">
        <is>
          <t>Water &amp; Wastewater Management</t>
        </is>
      </c>
      <c r="D22" s="11" t="inlineStr">
        <is>
          <t>High</t>
        </is>
      </c>
      <c r="E22" s="11">
        <f>COUNTIF('Company industries'!$H$2:$H$66,A22)</f>
        <v/>
      </c>
      <c r="F22" s="12" t="inlineStr">
        <is>
          <t>Yes</t>
        </is>
      </c>
      <c r="G22" s="12" t="n"/>
    </row>
    <row r="23">
      <c r="A23" s="10" t="inlineStr">
        <is>
          <t>Chemicals</t>
        </is>
      </c>
      <c r="B23" s="9" t="inlineStr">
        <is>
          <t>Hazardous Waste Management</t>
        </is>
      </c>
      <c r="C23" s="9" t="inlineStr">
        <is>
          <t>Waste &amp; Hazardous Materials Management</t>
        </is>
      </c>
      <c r="D23" s="11" t="inlineStr">
        <is>
          <t>High</t>
        </is>
      </c>
      <c r="E23" s="11">
        <f>COUNTIF('Company industries'!$H$2:$H$66,A23)</f>
        <v/>
      </c>
      <c r="F23" s="12" t="inlineStr">
        <is>
          <t>Yes</t>
        </is>
      </c>
      <c r="G23" s="12" t="n"/>
    </row>
    <row r="24">
      <c r="A24" s="10" t="inlineStr">
        <is>
          <t>Chemicals</t>
        </is>
      </c>
      <c r="B24" s="9" t="inlineStr">
        <is>
          <t>Community Relations</t>
        </is>
      </c>
      <c r="C24" s="9" t="inlineStr">
        <is>
          <t>Human Rights &amp; Community Relations</t>
        </is>
      </c>
      <c r="D24" s="11" t="inlineStr">
        <is>
          <t>High</t>
        </is>
      </c>
      <c r="E24" s="11">
        <f>COUNTIF('Company industries'!$H$2:$H$66,A24)</f>
        <v/>
      </c>
      <c r="F24" s="12" t="inlineStr">
        <is>
          <t>Yes</t>
        </is>
      </c>
      <c r="G24" s="12" t="n"/>
    </row>
    <row r="25">
      <c r="A25" s="10" t="inlineStr">
        <is>
          <t>Chemicals</t>
        </is>
      </c>
      <c r="B25" s="9" t="inlineStr">
        <is>
          <t>Workforce Health &amp; Safety</t>
        </is>
      </c>
      <c r="C25" s="9" t="inlineStr">
        <is>
          <t>Employee Health &amp; Safety</t>
        </is>
      </c>
      <c r="D25" s="11" t="inlineStr">
        <is>
          <t>High</t>
        </is>
      </c>
      <c r="E25" s="11">
        <f>COUNTIF('Company industries'!$H$2:$H$66,A25)</f>
        <v/>
      </c>
      <c r="F25" s="12" t="inlineStr">
        <is>
          <t>Yes</t>
        </is>
      </c>
      <c r="G25" s="12" t="n"/>
    </row>
    <row r="26">
      <c r="A26" s="10" t="inlineStr">
        <is>
          <t>Chemicals</t>
        </is>
      </c>
      <c r="B26" s="9" t="inlineStr">
        <is>
          <t>Product Design for Use-phase Efficiency</t>
        </is>
      </c>
      <c r="C26" s="9" t="inlineStr">
        <is>
          <t>Product Design &amp; Lifecycle Management</t>
        </is>
      </c>
      <c r="D26" s="11" t="inlineStr">
        <is>
          <t>High</t>
        </is>
      </c>
      <c r="E26" s="11">
        <f>COUNTIF('Company industries'!$H$2:$H$66,A26)</f>
        <v/>
      </c>
      <c r="F26" s="12" t="inlineStr">
        <is>
          <t>Yes</t>
        </is>
      </c>
      <c r="G26" s="12" t="n"/>
    </row>
    <row r="27">
      <c r="A27" s="10" t="inlineStr">
        <is>
          <t>Chemicals</t>
        </is>
      </c>
      <c r="B27" s="9" t="inlineStr">
        <is>
          <t>Safety &amp; Environmental Stewardship of Chemicals</t>
        </is>
      </c>
      <c r="C27" s="9" t="inlineStr">
        <is>
          <t>Product Quality &amp; Safety</t>
        </is>
      </c>
      <c r="D27" s="11" t="inlineStr">
        <is>
          <t>Medium</t>
        </is>
      </c>
      <c r="E27" s="11">
        <f>COUNTIF('Company industries'!$H$2:$H$66,A27)</f>
        <v/>
      </c>
      <c r="F27" s="12" t="inlineStr">
        <is>
          <t>Yes</t>
        </is>
      </c>
      <c r="G27" s="12" t="n"/>
    </row>
    <row r="28">
      <c r="A28" s="10" t="inlineStr">
        <is>
          <t>Chemicals</t>
        </is>
      </c>
      <c r="B28" s="9" t="inlineStr">
        <is>
          <t>Genetically Modified Organisms</t>
        </is>
      </c>
      <c r="C28" s="9" t="inlineStr">
        <is>
          <t>Product Quality &amp; Safety</t>
        </is>
      </c>
      <c r="D28" s="11" t="inlineStr">
        <is>
          <t>Medium</t>
        </is>
      </c>
      <c r="E28" s="11">
        <f>COUNTIF('Company industries'!$H$2:$H$66,A28)</f>
        <v/>
      </c>
      <c r="F28" s="12" t="inlineStr">
        <is>
          <t>Yes</t>
        </is>
      </c>
      <c r="G28" s="12" t="n"/>
    </row>
    <row r="29" ht="25.5" customHeight="1">
      <c r="A29" s="10" t="inlineStr">
        <is>
          <t>Chemicals</t>
        </is>
      </c>
      <c r="B29" s="9" t="inlineStr">
        <is>
          <t>Management of the Legal &amp; Regulatory Environment</t>
        </is>
      </c>
      <c r="C29" s="9" t="inlineStr">
        <is>
          <t>Management of the Legal &amp; Regulatory Environment</t>
        </is>
      </c>
      <c r="D29" s="11" t="inlineStr">
        <is>
          <t>High</t>
        </is>
      </c>
      <c r="E29" s="11">
        <f>COUNTIF('Company industries'!$H$2:$H$66,A29)</f>
        <v/>
      </c>
      <c r="F29" s="12" t="inlineStr">
        <is>
          <t>Yes</t>
        </is>
      </c>
      <c r="G29" s="12" t="n"/>
    </row>
    <row r="30" ht="25.5" customHeight="1">
      <c r="A30" s="10" t="inlineStr">
        <is>
          <t>Chemicals</t>
        </is>
      </c>
      <c r="B30" s="9" t="inlineStr">
        <is>
          <t>Operational Safety, Emergency Preparedness &amp; Response</t>
        </is>
      </c>
      <c r="C30" s="9" t="inlineStr">
        <is>
          <t>Critical Incident Risk Management</t>
        </is>
      </c>
      <c r="D30" s="11" t="inlineStr">
        <is>
          <t>High</t>
        </is>
      </c>
      <c r="E30" s="11">
        <f>COUNTIF('Company industries'!$H$2:$H$66,A30)</f>
        <v/>
      </c>
      <c r="F30" s="12" t="inlineStr">
        <is>
          <t>Yes</t>
        </is>
      </c>
      <c r="G30" s="12" t="n"/>
    </row>
    <row r="31" ht="25.5" customHeight="1">
      <c r="A31" s="10" t="inlineStr">
        <is>
          <t>Oil &amp; Gas – Exploration &amp; Production</t>
        </is>
      </c>
      <c r="B31" s="9" t="inlineStr">
        <is>
          <t>GHG Emissions</t>
        </is>
      </c>
      <c r="C31" s="9" t="inlineStr">
        <is>
          <t>GHG Emissions</t>
        </is>
      </c>
      <c r="D31" s="11" t="inlineStr">
        <is>
          <t>High</t>
        </is>
      </c>
      <c r="E31" s="11">
        <f>COUNTIF('Company industries'!$H$2:$H$66,A31)</f>
        <v/>
      </c>
      <c r="F31" s="12" t="inlineStr">
        <is>
          <t>Yes</t>
        </is>
      </c>
      <c r="G31" s="12" t="n"/>
    </row>
    <row r="32" ht="25.5" customHeight="1">
      <c r="A32" s="10" t="inlineStr">
        <is>
          <t>Oil &amp; Gas – Exploration &amp; Production</t>
        </is>
      </c>
      <c r="B32" s="9" t="inlineStr">
        <is>
          <t>Air Quality</t>
        </is>
      </c>
      <c r="C32" s="9" t="inlineStr">
        <is>
          <t>Air Quality</t>
        </is>
      </c>
      <c r="D32" s="11" t="inlineStr">
        <is>
          <t>High</t>
        </is>
      </c>
      <c r="E32" s="11">
        <f>COUNTIF('Company industries'!$H$2:$H$66,A32)</f>
        <v/>
      </c>
      <c r="F32" s="12" t="inlineStr">
        <is>
          <t>Yes</t>
        </is>
      </c>
      <c r="G32" s="12" t="n"/>
    </row>
    <row r="33" ht="25.5" customHeight="1">
      <c r="A33" s="10" t="inlineStr">
        <is>
          <t>Oil &amp; Gas – Exploration &amp; Production</t>
        </is>
      </c>
      <c r="B33" s="9" t="inlineStr">
        <is>
          <t>Water Management</t>
        </is>
      </c>
      <c r="C33" s="9" t="inlineStr">
        <is>
          <t>Water &amp; Wastewater Management</t>
        </is>
      </c>
      <c r="D33" s="11" t="inlineStr">
        <is>
          <t>High</t>
        </is>
      </c>
      <c r="E33" s="11">
        <f>COUNTIF('Company industries'!$H$2:$H$66,A33)</f>
        <v/>
      </c>
      <c r="F33" s="12" t="inlineStr">
        <is>
          <t>Yes</t>
        </is>
      </c>
      <c r="G33" s="12" t="n"/>
    </row>
    <row r="34" ht="25.5" customHeight="1">
      <c r="A34" s="10" t="inlineStr">
        <is>
          <t>Oil &amp; Gas – Exploration &amp; Production</t>
        </is>
      </c>
      <c r="B34" s="9" t="inlineStr">
        <is>
          <t>Biodiversity Impacts</t>
        </is>
      </c>
      <c r="C34" s="9" t="inlineStr">
        <is>
          <t>Ecological Impacts</t>
        </is>
      </c>
      <c r="D34" s="11" t="inlineStr">
        <is>
          <t>High</t>
        </is>
      </c>
      <c r="E34" s="11">
        <f>COUNTIF('Company industries'!$H$2:$H$66,A34)</f>
        <v/>
      </c>
      <c r="F34" s="12" t="inlineStr">
        <is>
          <t>Yes</t>
        </is>
      </c>
      <c r="G34" s="12" t="n"/>
    </row>
    <row r="35" ht="25.5" customHeight="1">
      <c r="A35" s="10" t="inlineStr">
        <is>
          <t>Oil &amp; Gas – Exploration &amp; Production</t>
        </is>
      </c>
      <c r="B35" s="9" t="inlineStr">
        <is>
          <t>Security, Human Rights &amp; Rights of Indigenous Peoples</t>
        </is>
      </c>
      <c r="C35" s="9" t="inlineStr">
        <is>
          <t>Human Rights &amp; Community Relations</t>
        </is>
      </c>
      <c r="D35" s="11" t="inlineStr">
        <is>
          <t>High</t>
        </is>
      </c>
      <c r="E35" s="11">
        <f>COUNTIF('Company industries'!$H$2:$H$66,A35)</f>
        <v/>
      </c>
      <c r="F35" s="12" t="inlineStr">
        <is>
          <t>Yes</t>
        </is>
      </c>
      <c r="G35" s="12" t="n"/>
    </row>
    <row r="36" ht="25.5" customHeight="1">
      <c r="A36" s="10" t="inlineStr">
        <is>
          <t>Oil &amp; Gas – Exploration &amp; Production</t>
        </is>
      </c>
      <c r="B36" s="9" t="inlineStr">
        <is>
          <t>Community Relations</t>
        </is>
      </c>
      <c r="C36" s="9" t="inlineStr">
        <is>
          <t>Human Rights &amp; Community Relations</t>
        </is>
      </c>
      <c r="D36" s="11" t="inlineStr">
        <is>
          <t>High</t>
        </is>
      </c>
      <c r="E36" s="11">
        <f>COUNTIF('Company industries'!$H$2:$H$66,A36)</f>
        <v/>
      </c>
      <c r="F36" s="12" t="inlineStr">
        <is>
          <t>Yes</t>
        </is>
      </c>
      <c r="G36" s="12" t="n"/>
    </row>
    <row r="37" ht="25.5" customHeight="1">
      <c r="A37" s="10" t="inlineStr">
        <is>
          <t>Oil &amp; Gas – Exploration &amp; Production</t>
        </is>
      </c>
      <c r="B37" s="9" t="inlineStr">
        <is>
          <t>Workforce Health &amp; Safety</t>
        </is>
      </c>
      <c r="C37" s="9" t="inlineStr">
        <is>
          <t>Employee Health &amp; Safety</t>
        </is>
      </c>
      <c r="D37" s="11" t="inlineStr">
        <is>
          <t>High</t>
        </is>
      </c>
      <c r="E37" s="11">
        <f>COUNTIF('Company industries'!$H$2:$H$66,A37)</f>
        <v/>
      </c>
      <c r="F37" s="12" t="inlineStr">
        <is>
          <t>Yes</t>
        </is>
      </c>
      <c r="G37" s="12" t="n"/>
    </row>
    <row r="38" ht="25.5" customHeight="1">
      <c r="A38" s="10" t="inlineStr">
        <is>
          <t>Oil &amp; Gas – Exploration &amp; Production</t>
        </is>
      </c>
      <c r="B38" s="9" t="inlineStr">
        <is>
          <t>Reserves Valuation &amp; Capital Expenditures</t>
        </is>
      </c>
      <c r="C38" s="9" t="inlineStr">
        <is>
          <t>Business Model Resilience</t>
        </is>
      </c>
      <c r="D38" s="11" t="inlineStr">
        <is>
          <t>High</t>
        </is>
      </c>
      <c r="E38" s="11">
        <f>COUNTIF('Company industries'!$H$2:$H$66,A38)</f>
        <v/>
      </c>
      <c r="F38" s="12" t="inlineStr">
        <is>
          <t>Yes</t>
        </is>
      </c>
      <c r="G38" s="12" t="n"/>
    </row>
    <row r="39" ht="25.5" customHeight="1">
      <c r="A39" s="10" t="inlineStr">
        <is>
          <t>Oil &amp; Gas – Exploration &amp; Production</t>
        </is>
      </c>
      <c r="B39" s="9" t="inlineStr">
        <is>
          <t>Business Ethics &amp; Transparency</t>
        </is>
      </c>
      <c r="C39" s="9" t="inlineStr">
        <is>
          <t>Business Ethics</t>
        </is>
      </c>
      <c r="D39" s="11" t="inlineStr">
        <is>
          <t>High</t>
        </is>
      </c>
      <c r="E39" s="11">
        <f>COUNTIF('Company industries'!$H$2:$H$66,A39)</f>
        <v/>
      </c>
      <c r="F39" s="12" t="inlineStr">
        <is>
          <t>Yes</t>
        </is>
      </c>
      <c r="G39" s="12" t="n"/>
    </row>
    <row r="40" ht="25.5" customHeight="1">
      <c r="A40" s="10" t="inlineStr">
        <is>
          <t>Oil &amp; Gas – Exploration &amp; Production</t>
        </is>
      </c>
      <c r="B40" s="9" t="inlineStr">
        <is>
          <t>Management of the Legal &amp; Regulatory Environment</t>
        </is>
      </c>
      <c r="C40" s="9" t="inlineStr">
        <is>
          <t>Management of the Legal &amp; Regulatory Environment</t>
        </is>
      </c>
      <c r="D40" s="11" t="inlineStr">
        <is>
          <t>High</t>
        </is>
      </c>
      <c r="E40" s="11">
        <f>COUNTIF('Company industries'!$H$2:$H$66,A40)</f>
        <v/>
      </c>
      <c r="F40" s="12" t="inlineStr">
        <is>
          <t>Yes</t>
        </is>
      </c>
      <c r="G40" s="12" t="n"/>
    </row>
    <row r="41" ht="25.5" customHeight="1">
      <c r="A41" s="10" t="inlineStr">
        <is>
          <t>Oil &amp; Gas – Exploration &amp; Production</t>
        </is>
      </c>
      <c r="B41" s="9" t="inlineStr">
        <is>
          <t>Critical Incident Risk Management</t>
        </is>
      </c>
      <c r="C41" s="9" t="inlineStr">
        <is>
          <t>Critical Incident Risk Management</t>
        </is>
      </c>
      <c r="D41" s="11" t="inlineStr">
        <is>
          <t>High</t>
        </is>
      </c>
      <c r="E41" s="11">
        <f>COUNTIF('Company industries'!$H$2:$H$66,A41)</f>
        <v/>
      </c>
      <c r="F41" s="12" t="inlineStr">
        <is>
          <t>Yes</t>
        </is>
      </c>
      <c r="G41" s="12" t="n"/>
    </row>
    <row r="42">
      <c r="A42" s="10" t="inlineStr">
        <is>
          <t>Oil &amp; Gas – Refining &amp; Marketing</t>
        </is>
      </c>
      <c r="B42" s="9" t="inlineStr">
        <is>
          <t>GHG Emissions</t>
        </is>
      </c>
      <c r="C42" s="9" t="inlineStr">
        <is>
          <t>GHG Emissions</t>
        </is>
      </c>
      <c r="D42" s="11" t="inlineStr">
        <is>
          <t>High</t>
        </is>
      </c>
      <c r="E42" s="11">
        <f>COUNTIF('Company industries'!$H$2:$H$66,A42)</f>
        <v/>
      </c>
      <c r="F42" s="12" t="inlineStr">
        <is>
          <t>Yes</t>
        </is>
      </c>
      <c r="G42" s="12" t="n"/>
    </row>
    <row r="43">
      <c r="A43" s="10" t="inlineStr">
        <is>
          <t>Oil &amp; Gas – Refining &amp; Marketing</t>
        </is>
      </c>
      <c r="B43" s="9" t="inlineStr">
        <is>
          <t>Air Quality</t>
        </is>
      </c>
      <c r="C43" s="9" t="inlineStr">
        <is>
          <t>Air Quality</t>
        </is>
      </c>
      <c r="D43" s="11" t="inlineStr">
        <is>
          <t>High</t>
        </is>
      </c>
      <c r="E43" s="11">
        <f>COUNTIF('Company industries'!$H$2:$H$66,A43)</f>
        <v/>
      </c>
      <c r="F43" s="12" t="inlineStr">
        <is>
          <t>Yes</t>
        </is>
      </c>
      <c r="G43" s="12" t="n"/>
    </row>
    <row r="44">
      <c r="A44" s="10" t="inlineStr">
        <is>
          <t>Oil &amp; Gas – Refining &amp; Marketing</t>
        </is>
      </c>
      <c r="B44" s="9" t="inlineStr">
        <is>
          <t>Water Management</t>
        </is>
      </c>
      <c r="C44" s="9" t="inlineStr">
        <is>
          <t>Water &amp; Wastewater Management</t>
        </is>
      </c>
      <c r="D44" s="11" t="inlineStr">
        <is>
          <t>High</t>
        </is>
      </c>
      <c r="E44" s="11">
        <f>COUNTIF('Company industries'!$H$2:$H$66,A44)</f>
        <v/>
      </c>
      <c r="F44" s="12" t="inlineStr">
        <is>
          <t>Yes</t>
        </is>
      </c>
      <c r="G44" s="12" t="n"/>
    </row>
    <row r="45">
      <c r="A45" s="10" t="inlineStr">
        <is>
          <t>Oil &amp; Gas – Refining &amp; Marketing</t>
        </is>
      </c>
      <c r="B45" s="9" t="inlineStr">
        <is>
          <t>Hazardous Materials Management</t>
        </is>
      </c>
      <c r="C45" s="9" t="inlineStr">
        <is>
          <t>Waste &amp; Hazardous Materials Management</t>
        </is>
      </c>
      <c r="D45" s="11" t="inlineStr">
        <is>
          <t>High</t>
        </is>
      </c>
      <c r="E45" s="11">
        <f>COUNTIF('Company industries'!$H$2:$H$66,A45)</f>
        <v/>
      </c>
      <c r="F45" s="12" t="inlineStr">
        <is>
          <t>Yes</t>
        </is>
      </c>
      <c r="G45" s="12" t="n"/>
    </row>
    <row r="46">
      <c r="A46" s="10" t="inlineStr">
        <is>
          <t>Oil &amp; Gas – Refining &amp; Marketing</t>
        </is>
      </c>
      <c r="B46" s="9" t="inlineStr">
        <is>
          <t>Workforce Health &amp; Safety</t>
        </is>
      </c>
      <c r="C46" s="9" t="inlineStr">
        <is>
          <t>Employee Health &amp; Safety</t>
        </is>
      </c>
      <c r="D46" s="11" t="inlineStr">
        <is>
          <t>High</t>
        </is>
      </c>
      <c r="E46" s="11">
        <f>COUNTIF('Company industries'!$H$2:$H$66,A46)</f>
        <v/>
      </c>
      <c r="F46" s="12" t="inlineStr">
        <is>
          <t>Yes</t>
        </is>
      </c>
      <c r="G46" s="12" t="n"/>
    </row>
    <row r="47">
      <c r="A47" s="10" t="inlineStr">
        <is>
          <t>Oil &amp; Gas – Refining &amp; Marketing</t>
        </is>
      </c>
      <c r="B47" s="9" t="inlineStr">
        <is>
          <t>Product Specifications &amp; Clean Fuel Blends</t>
        </is>
      </c>
      <c r="C47" s="9" t="inlineStr">
        <is>
          <t>Business Model Resilience</t>
        </is>
      </c>
      <c r="D47" s="11" t="inlineStr">
        <is>
          <t>Medium</t>
        </is>
      </c>
      <c r="E47" s="11">
        <f>COUNTIF('Company industries'!$H$2:$H$66,A47)</f>
        <v/>
      </c>
      <c r="F47" s="12" t="inlineStr">
        <is>
          <t>Yes</t>
        </is>
      </c>
      <c r="G47" s="12" t="n"/>
    </row>
    <row r="48">
      <c r="A48" s="10" t="inlineStr">
        <is>
          <t>Oil &amp; Gas – Refining &amp; Marketing</t>
        </is>
      </c>
      <c r="B48" s="9" t="inlineStr">
        <is>
          <t>Pricing Integrity &amp; Transparency</t>
        </is>
      </c>
      <c r="C48" s="9" t="inlineStr">
        <is>
          <t>Competitive Behavior</t>
        </is>
      </c>
      <c r="D48" s="11" t="inlineStr">
        <is>
          <t>Medium</t>
        </is>
      </c>
      <c r="E48" s="11">
        <f>COUNTIF('Company industries'!$H$2:$H$66,A48)</f>
        <v/>
      </c>
      <c r="F48" s="12" t="inlineStr">
        <is>
          <t>Yes</t>
        </is>
      </c>
      <c r="G48" s="12" t="n"/>
    </row>
    <row r="49" ht="25.5" customHeight="1">
      <c r="A49" s="10" t="inlineStr">
        <is>
          <t>Oil &amp; Gas – Refining &amp; Marketing</t>
        </is>
      </c>
      <c r="B49" s="9" t="inlineStr">
        <is>
          <t>Management of the Legal &amp; Regulatory Environment</t>
        </is>
      </c>
      <c r="C49" s="9" t="inlineStr">
        <is>
          <t>Management of the Legal &amp; Regulatory Environment</t>
        </is>
      </c>
      <c r="D49" s="11" t="inlineStr">
        <is>
          <t>High</t>
        </is>
      </c>
      <c r="E49" s="11">
        <f>COUNTIF('Company industries'!$H$2:$H$66,A49)</f>
        <v/>
      </c>
      <c r="F49" s="12" t="inlineStr">
        <is>
          <t>Yes</t>
        </is>
      </c>
      <c r="G49" s="12" t="n"/>
    </row>
    <row r="50">
      <c r="A50" s="10" t="inlineStr">
        <is>
          <t>Oil &amp; Gas – Refining &amp; Marketing</t>
        </is>
      </c>
      <c r="B50" s="9" t="inlineStr">
        <is>
          <t>Critical Incident Risk Management</t>
        </is>
      </c>
      <c r="C50" s="9" t="inlineStr">
        <is>
          <t>Critical Incident Risk Management</t>
        </is>
      </c>
      <c r="D50" s="11" t="inlineStr">
        <is>
          <t>High</t>
        </is>
      </c>
      <c r="E50" s="11">
        <f>COUNTIF('Company industries'!$H$2:$H$66,A50)</f>
        <v/>
      </c>
      <c r="F50" s="12" t="inlineStr">
        <is>
          <t>Yes</t>
        </is>
      </c>
      <c r="G50" s="12" t="n"/>
    </row>
    <row r="51">
      <c r="A51" s="10" t="inlineStr">
        <is>
          <t>Oil &amp; Gas – Services</t>
        </is>
      </c>
      <c r="B51" s="9" t="inlineStr">
        <is>
          <t>Emissions Reduction Services &amp; Fuels Management</t>
        </is>
      </c>
      <c r="C51" s="9" t="inlineStr">
        <is>
          <t>GHG Emissions</t>
        </is>
      </c>
      <c r="D51" s="11" t="inlineStr">
        <is>
          <t>Medium</t>
        </is>
      </c>
      <c r="E51" s="11">
        <f>COUNTIF('Company industries'!$H$2:$H$66,A51)</f>
        <v/>
      </c>
      <c r="F51" s="12" t="inlineStr">
        <is>
          <t>Yes</t>
        </is>
      </c>
      <c r="G51" s="12" t="n"/>
    </row>
    <row r="52">
      <c r="A52" s="10" t="inlineStr">
        <is>
          <t>Oil &amp; Gas – Services</t>
        </is>
      </c>
      <c r="B52" s="9" t="inlineStr">
        <is>
          <t>Water Management Services</t>
        </is>
      </c>
      <c r="C52" s="9" t="inlineStr">
        <is>
          <t>Water &amp; Wastewater Management</t>
        </is>
      </c>
      <c r="D52" s="11" t="inlineStr">
        <is>
          <t>High</t>
        </is>
      </c>
      <c r="E52" s="11">
        <f>COUNTIF('Company industries'!$H$2:$H$66,A52)</f>
        <v/>
      </c>
      <c r="F52" s="12" t="inlineStr">
        <is>
          <t>Yes</t>
        </is>
      </c>
      <c r="G52" s="12" t="n"/>
    </row>
    <row r="53">
      <c r="A53" s="10" t="inlineStr">
        <is>
          <t>Oil &amp; Gas – Services</t>
        </is>
      </c>
      <c r="B53" s="9" t="inlineStr">
        <is>
          <t>Chemicals Management</t>
        </is>
      </c>
      <c r="C53" s="9" t="inlineStr">
        <is>
          <t>Waste &amp; Hazardous Materials Management</t>
        </is>
      </c>
      <c r="D53" s="11" t="inlineStr">
        <is>
          <t>Medium</t>
        </is>
      </c>
      <c r="E53" s="11">
        <f>COUNTIF('Company industries'!$H$2:$H$66,A53)</f>
        <v/>
      </c>
      <c r="F53" s="12" t="inlineStr">
        <is>
          <t>Yes</t>
        </is>
      </c>
      <c r="G53" s="12" t="n"/>
    </row>
    <row r="54">
      <c r="A54" s="10" t="inlineStr">
        <is>
          <t>Oil &amp; Gas – Services</t>
        </is>
      </c>
      <c r="B54" s="9" t="inlineStr">
        <is>
          <t>Ecological Impact Management</t>
        </is>
      </c>
      <c r="C54" s="9" t="inlineStr">
        <is>
          <t>Ecological Impacts</t>
        </is>
      </c>
      <c r="D54" s="11" t="inlineStr">
        <is>
          <t>High</t>
        </is>
      </c>
      <c r="E54" s="11">
        <f>COUNTIF('Company industries'!$H$2:$H$66,A54)</f>
        <v/>
      </c>
      <c r="F54" s="12" t="inlineStr">
        <is>
          <t>Yes</t>
        </is>
      </c>
      <c r="G54" s="12" t="n"/>
    </row>
    <row r="55">
      <c r="A55" s="10" t="inlineStr">
        <is>
          <t>Oil &amp; Gas – Services</t>
        </is>
      </c>
      <c r="B55" s="9" t="inlineStr">
        <is>
          <t>Workforce Health &amp; Safety</t>
        </is>
      </c>
      <c r="C55" s="9" t="inlineStr">
        <is>
          <t>Employee Health &amp; Safety</t>
        </is>
      </c>
      <c r="D55" s="11" t="inlineStr">
        <is>
          <t>High</t>
        </is>
      </c>
      <c r="E55" s="11">
        <f>COUNTIF('Company industries'!$H$2:$H$66,A55)</f>
        <v/>
      </c>
      <c r="F55" s="12" t="inlineStr">
        <is>
          <t>Yes</t>
        </is>
      </c>
      <c r="G55" s="12" t="n"/>
    </row>
    <row r="56">
      <c r="A56" s="10" t="inlineStr">
        <is>
          <t>Oil &amp; Gas – Services</t>
        </is>
      </c>
      <c r="B56" s="9" t="inlineStr">
        <is>
          <t>Business Ethics &amp; Payments Transparency</t>
        </is>
      </c>
      <c r="C56" s="9" t="inlineStr">
        <is>
          <t>Business Ethics</t>
        </is>
      </c>
      <c r="D56" s="11" t="inlineStr">
        <is>
          <t>High</t>
        </is>
      </c>
      <c r="E56" s="11">
        <f>COUNTIF('Company industries'!$H$2:$H$66,A56)</f>
        <v/>
      </c>
      <c r="F56" s="12" t="inlineStr">
        <is>
          <t>Yes</t>
        </is>
      </c>
      <c r="G56" s="12" t="n"/>
    </row>
    <row r="57" ht="25.5" customHeight="1">
      <c r="A57" s="10" t="inlineStr">
        <is>
          <t>Oil &amp; Gas – Services</t>
        </is>
      </c>
      <c r="B57" s="9" t="inlineStr">
        <is>
          <t>Management of the Legal &amp; Regulatory Environment</t>
        </is>
      </c>
      <c r="C57" s="9" t="inlineStr">
        <is>
          <t>Management of the Legal &amp; Regulatory Environment</t>
        </is>
      </c>
      <c r="D57" s="11" t="inlineStr">
        <is>
          <t>High</t>
        </is>
      </c>
      <c r="E57" s="11">
        <f>COUNTIF('Company industries'!$H$2:$H$66,A57)</f>
        <v/>
      </c>
      <c r="F57" s="12" t="inlineStr">
        <is>
          <t>Yes</t>
        </is>
      </c>
      <c r="G57" s="12" t="n"/>
    </row>
    <row r="58">
      <c r="A58" s="10" t="inlineStr">
        <is>
          <t>Oil &amp; Gas – Services</t>
        </is>
      </c>
      <c r="B58" s="9" t="inlineStr">
        <is>
          <t>Critical Incident Risk Management</t>
        </is>
      </c>
      <c r="C58" s="9" t="inlineStr">
        <is>
          <t>Critical Incident Risk Management</t>
        </is>
      </c>
      <c r="D58" s="11" t="inlineStr">
        <is>
          <t>High</t>
        </is>
      </c>
      <c r="E58" s="11">
        <f>COUNTIF('Company industries'!$H$2:$H$66,A58)</f>
        <v/>
      </c>
      <c r="F58" s="12" t="inlineStr">
        <is>
          <t>Yes</t>
        </is>
      </c>
      <c r="G58" s="12" t="n"/>
    </row>
    <row r="59">
      <c r="A59" s="10" t="inlineStr">
        <is>
          <t>Metals &amp; Mining</t>
        </is>
      </c>
      <c r="B59" s="9" t="inlineStr">
        <is>
          <t>GHG Emissions</t>
        </is>
      </c>
      <c r="C59" s="9" t="inlineStr">
        <is>
          <t>GHG Emissions</t>
        </is>
      </c>
      <c r="D59" s="11" t="inlineStr">
        <is>
          <t>High</t>
        </is>
      </c>
      <c r="E59" s="11">
        <f>COUNTIF('Company industries'!$H$2:$H$66,A59)</f>
        <v/>
      </c>
      <c r="F59" s="12" t="inlineStr">
        <is>
          <t>Yes</t>
        </is>
      </c>
      <c r="G59" s="12" t="n"/>
    </row>
    <row r="60">
      <c r="A60" s="10" t="inlineStr">
        <is>
          <t>Metals &amp; Mining</t>
        </is>
      </c>
      <c r="B60" s="9" t="inlineStr">
        <is>
          <t>Air Quality</t>
        </is>
      </c>
      <c r="C60" s="9" t="inlineStr">
        <is>
          <t>Air Quality</t>
        </is>
      </c>
      <c r="D60" s="11" t="inlineStr">
        <is>
          <t>High</t>
        </is>
      </c>
      <c r="E60" s="11">
        <f>COUNTIF('Company industries'!$H$2:$H$66,A60)</f>
        <v/>
      </c>
      <c r="F60" s="12" t="inlineStr">
        <is>
          <t>Yes</t>
        </is>
      </c>
      <c r="G60" s="12" t="n"/>
    </row>
    <row r="61">
      <c r="A61" s="10" t="inlineStr">
        <is>
          <t>Metals &amp; Mining</t>
        </is>
      </c>
      <c r="B61" s="9" t="inlineStr">
        <is>
          <t>Energy Management</t>
        </is>
      </c>
      <c r="C61" s="9" t="inlineStr">
        <is>
          <t>Energy Management</t>
        </is>
      </c>
      <c r="D61" s="11" t="inlineStr">
        <is>
          <t>High</t>
        </is>
      </c>
      <c r="E61" s="11">
        <f>COUNTIF('Company industries'!$H$2:$H$66,A61)</f>
        <v/>
      </c>
      <c r="F61" s="12" t="inlineStr">
        <is>
          <t>Yes</t>
        </is>
      </c>
      <c r="G61" s="12" t="n"/>
    </row>
    <row r="62">
      <c r="A62" s="10" t="inlineStr">
        <is>
          <t>Metals &amp; Mining</t>
        </is>
      </c>
      <c r="B62" s="9" t="inlineStr">
        <is>
          <t>Water Management</t>
        </is>
      </c>
      <c r="C62" s="9" t="inlineStr">
        <is>
          <t>Water &amp; Wastewater Management</t>
        </is>
      </c>
      <c r="D62" s="11" t="inlineStr">
        <is>
          <t>High</t>
        </is>
      </c>
      <c r="E62" s="11">
        <f>COUNTIF('Company industries'!$H$2:$H$66,A62)</f>
        <v/>
      </c>
      <c r="F62" s="12" t="inlineStr">
        <is>
          <t>Yes</t>
        </is>
      </c>
      <c r="G62" s="12" t="n"/>
    </row>
    <row r="63">
      <c r="A63" s="10" t="inlineStr">
        <is>
          <t>Metals &amp; Mining</t>
        </is>
      </c>
      <c r="B63" s="9" t="inlineStr">
        <is>
          <t>Waste &amp; Hazardous Materials Management</t>
        </is>
      </c>
      <c r="C63" s="9" t="inlineStr">
        <is>
          <t>Waste &amp; Hazardous Materials Management</t>
        </is>
      </c>
      <c r="D63" s="11" t="inlineStr">
        <is>
          <t>High</t>
        </is>
      </c>
      <c r="E63" s="11">
        <f>COUNTIF('Company industries'!$H$2:$H$66,A63)</f>
        <v/>
      </c>
      <c r="F63" s="12" t="inlineStr">
        <is>
          <t>Yes</t>
        </is>
      </c>
      <c r="G63" s="12" t="n"/>
    </row>
    <row r="64">
      <c r="A64" s="10" t="inlineStr">
        <is>
          <t>Metals &amp; Mining</t>
        </is>
      </c>
      <c r="B64" s="9" t="inlineStr">
        <is>
          <t>Biodiversity Impacts</t>
        </is>
      </c>
      <c r="C64" s="9" t="inlineStr">
        <is>
          <t>Ecological Impacts</t>
        </is>
      </c>
      <c r="D64" s="11" t="inlineStr">
        <is>
          <t>High</t>
        </is>
      </c>
      <c r="E64" s="11">
        <f>COUNTIF('Company industries'!$H$2:$H$66,A64)</f>
        <v/>
      </c>
      <c r="F64" s="12" t="inlineStr">
        <is>
          <t>Yes</t>
        </is>
      </c>
      <c r="G64" s="12" t="n"/>
    </row>
    <row r="65">
      <c r="A65" s="10" t="inlineStr">
        <is>
          <t>Metals &amp; Mining</t>
        </is>
      </c>
      <c r="B65" s="9" t="inlineStr">
        <is>
          <t>Security, Human Rights &amp; Rights of Indigenous Peoples</t>
        </is>
      </c>
      <c r="C65" s="9" t="inlineStr">
        <is>
          <t>Human Rights &amp; Community Relations</t>
        </is>
      </c>
      <c r="D65" s="11" t="inlineStr">
        <is>
          <t>High</t>
        </is>
      </c>
      <c r="E65" s="11">
        <f>COUNTIF('Company industries'!$H$2:$H$66,A65)</f>
        <v/>
      </c>
      <c r="F65" s="12" t="inlineStr">
        <is>
          <t>Yes</t>
        </is>
      </c>
      <c r="G65" s="12" t="n"/>
    </row>
    <row r="66">
      <c r="A66" s="10" t="inlineStr">
        <is>
          <t>Metals &amp; Mining</t>
        </is>
      </c>
      <c r="B66" s="9" t="inlineStr">
        <is>
          <t>Community Relations</t>
        </is>
      </c>
      <c r="C66" s="9" t="inlineStr">
        <is>
          <t>Human Rights &amp; Community Relations</t>
        </is>
      </c>
      <c r="D66" s="11" t="inlineStr">
        <is>
          <t>High</t>
        </is>
      </c>
      <c r="E66" s="11">
        <f>COUNTIF('Company industries'!$H$2:$H$66,A66)</f>
        <v/>
      </c>
      <c r="F66" s="12" t="inlineStr">
        <is>
          <t>Yes</t>
        </is>
      </c>
      <c r="G66" s="12" t="n"/>
    </row>
    <row r="67">
      <c r="A67" s="10" t="inlineStr">
        <is>
          <t>Metals &amp; Mining</t>
        </is>
      </c>
      <c r="B67" s="9" t="inlineStr">
        <is>
          <t>Labour Relations</t>
        </is>
      </c>
      <c r="C67" s="9" t="inlineStr">
        <is>
          <t>Labor Practices</t>
        </is>
      </c>
      <c r="D67" s="11" t="inlineStr">
        <is>
          <t>High</t>
        </is>
      </c>
      <c r="E67" s="11">
        <f>COUNTIF('Company industries'!$H$2:$H$66,A67)</f>
        <v/>
      </c>
      <c r="F67" s="12" t="inlineStr">
        <is>
          <t>Yes</t>
        </is>
      </c>
      <c r="G67" s="12" t="n"/>
    </row>
    <row r="68">
      <c r="A68" s="10" t="inlineStr">
        <is>
          <t>Metals &amp; Mining</t>
        </is>
      </c>
      <c r="B68" s="9" t="inlineStr">
        <is>
          <t>Workforce Health &amp; Safety</t>
        </is>
      </c>
      <c r="C68" s="9" t="inlineStr">
        <is>
          <t>Employee Health &amp; Safety</t>
        </is>
      </c>
      <c r="D68" s="11" t="inlineStr">
        <is>
          <t>High</t>
        </is>
      </c>
      <c r="E68" s="11">
        <f>COUNTIF('Company industries'!$H$2:$H$66,A68)</f>
        <v/>
      </c>
      <c r="F68" s="12" t="inlineStr">
        <is>
          <t>Yes</t>
        </is>
      </c>
      <c r="G68" s="12" t="n"/>
    </row>
    <row r="69">
      <c r="A69" s="10" t="inlineStr">
        <is>
          <t>Metals &amp; Mining</t>
        </is>
      </c>
      <c r="B69" s="9" t="inlineStr">
        <is>
          <t>Business Ethics &amp; Transparency</t>
        </is>
      </c>
      <c r="C69" s="9" t="inlineStr">
        <is>
          <t>Business Ethics</t>
        </is>
      </c>
      <c r="D69" s="11" t="inlineStr">
        <is>
          <t>High</t>
        </is>
      </c>
      <c r="E69" s="11">
        <f>COUNTIF('Company industries'!$H$2:$H$66,A69)</f>
        <v/>
      </c>
      <c r="F69" s="12" t="inlineStr">
        <is>
          <t>Yes</t>
        </is>
      </c>
      <c r="G69" s="12" t="n"/>
    </row>
    <row r="70">
      <c r="A70" s="10" t="inlineStr">
        <is>
          <t>Metals &amp; Mining</t>
        </is>
      </c>
      <c r="B70" s="9" t="inlineStr">
        <is>
          <t>Tailings Storage Facilities Management</t>
        </is>
      </c>
      <c r="C70" s="9" t="inlineStr">
        <is>
          <t>Critical Incident Risk Management</t>
        </is>
      </c>
      <c r="D70" s="11" t="inlineStr">
        <is>
          <t>High</t>
        </is>
      </c>
      <c r="E70" s="11">
        <f>COUNTIF('Company industries'!$H$2:$H$66,A70)</f>
        <v/>
      </c>
      <c r="F70" s="12" t="inlineStr">
        <is>
          <t>Yes</t>
        </is>
      </c>
      <c r="G70" s="12" t="n"/>
    </row>
    <row r="71">
      <c r="A71" s="10" t="inlineStr">
        <is>
          <t>Construction Materials</t>
        </is>
      </c>
      <c r="B71" s="9" t="inlineStr">
        <is>
          <t>GHG Emissions</t>
        </is>
      </c>
      <c r="C71" s="9" t="inlineStr">
        <is>
          <t>GHG Emissions</t>
        </is>
      </c>
      <c r="D71" s="11" t="inlineStr">
        <is>
          <t>High</t>
        </is>
      </c>
      <c r="E71" s="11">
        <f>COUNTIF('Company industries'!$H$2:$H$66,A71)</f>
        <v/>
      </c>
      <c r="F71" s="12" t="inlineStr">
        <is>
          <t>Yes</t>
        </is>
      </c>
      <c r="G71" s="12" t="n"/>
    </row>
    <row r="72">
      <c r="A72" s="10" t="inlineStr">
        <is>
          <t>Construction Materials</t>
        </is>
      </c>
      <c r="B72" s="9" t="inlineStr">
        <is>
          <t>Air Quality</t>
        </is>
      </c>
      <c r="C72" s="9" t="inlineStr">
        <is>
          <t>Air Quality</t>
        </is>
      </c>
      <c r="D72" s="11" t="inlineStr">
        <is>
          <t>High</t>
        </is>
      </c>
      <c r="E72" s="11">
        <f>COUNTIF('Company industries'!$H$2:$H$66,A72)</f>
        <v/>
      </c>
      <c r="F72" s="12" t="inlineStr">
        <is>
          <t>Yes</t>
        </is>
      </c>
      <c r="G72" s="12" t="n"/>
    </row>
    <row r="73">
      <c r="A73" s="10" t="inlineStr">
        <is>
          <t>Construction Materials</t>
        </is>
      </c>
      <c r="B73" s="9" t="inlineStr">
        <is>
          <t>Energy Management</t>
        </is>
      </c>
      <c r="C73" s="9" t="inlineStr">
        <is>
          <t>Energy Management</t>
        </is>
      </c>
      <c r="D73" s="11" t="inlineStr">
        <is>
          <t>High</t>
        </is>
      </c>
      <c r="E73" s="11">
        <f>COUNTIF('Company industries'!$H$2:$H$66,A73)</f>
        <v/>
      </c>
      <c r="F73" s="12" t="inlineStr">
        <is>
          <t>Yes</t>
        </is>
      </c>
      <c r="G73" s="12" t="n"/>
    </row>
    <row r="74">
      <c r="A74" s="10" t="inlineStr">
        <is>
          <t>Construction Materials</t>
        </is>
      </c>
      <c r="B74" s="9" t="inlineStr">
        <is>
          <t>Water Management</t>
        </is>
      </c>
      <c r="C74" s="9" t="inlineStr">
        <is>
          <t>Water &amp; Wastewater Management</t>
        </is>
      </c>
      <c r="D74" s="11" t="inlineStr">
        <is>
          <t>High</t>
        </is>
      </c>
      <c r="E74" s="11">
        <f>COUNTIF('Company industries'!$H$2:$H$66,A74)</f>
        <v/>
      </c>
      <c r="F74" s="12" t="inlineStr">
        <is>
          <t>Yes</t>
        </is>
      </c>
      <c r="G74" s="12" t="n"/>
    </row>
    <row r="75">
      <c r="A75" s="10" t="inlineStr">
        <is>
          <t>Construction Materials</t>
        </is>
      </c>
      <c r="B75" s="9" t="inlineStr">
        <is>
          <t>Waste Management</t>
        </is>
      </c>
      <c r="C75" s="9" t="inlineStr">
        <is>
          <t>Waste &amp; Hazardous Materials Management</t>
        </is>
      </c>
      <c r="D75" s="11" t="inlineStr">
        <is>
          <t>High</t>
        </is>
      </c>
      <c r="E75" s="11">
        <f>COUNTIF('Company industries'!$H$2:$H$66,A75)</f>
        <v/>
      </c>
      <c r="F75" s="12" t="inlineStr">
        <is>
          <t>Yes</t>
        </is>
      </c>
      <c r="G75" s="12" t="n"/>
    </row>
    <row r="76">
      <c r="A76" s="10" t="inlineStr">
        <is>
          <t>Construction Materials</t>
        </is>
      </c>
      <c r="B76" s="9" t="inlineStr">
        <is>
          <t>Biodiversity Impacts</t>
        </is>
      </c>
      <c r="C76" s="9" t="inlineStr">
        <is>
          <t>Ecological Impacts</t>
        </is>
      </c>
      <c r="D76" s="11" t="inlineStr">
        <is>
          <t>High</t>
        </is>
      </c>
      <c r="E76" s="11">
        <f>COUNTIF('Company industries'!$H$2:$H$66,A76)</f>
        <v/>
      </c>
      <c r="F76" s="12" t="inlineStr">
        <is>
          <t>Yes</t>
        </is>
      </c>
      <c r="G76" s="12" t="n"/>
    </row>
    <row r="77">
      <c r="A77" s="10" t="inlineStr">
        <is>
          <t>Construction Materials</t>
        </is>
      </c>
      <c r="B77" s="9" t="inlineStr">
        <is>
          <t>Workforce Health &amp; Safety</t>
        </is>
      </c>
      <c r="C77" s="9" t="inlineStr">
        <is>
          <t>Employee Health &amp; Safety</t>
        </is>
      </c>
      <c r="D77" s="11" t="inlineStr">
        <is>
          <t>High</t>
        </is>
      </c>
      <c r="E77" s="11">
        <f>COUNTIF('Company industries'!$H$2:$H$66,A77)</f>
        <v/>
      </c>
      <c r="F77" s="12" t="inlineStr">
        <is>
          <t>Yes</t>
        </is>
      </c>
      <c r="G77" s="12" t="n"/>
    </row>
    <row r="78">
      <c r="A78" s="10" t="inlineStr">
        <is>
          <t>Construction Materials</t>
        </is>
      </c>
      <c r="B78" s="9" t="inlineStr">
        <is>
          <t>Product Innovation</t>
        </is>
      </c>
      <c r="C78" s="9" t="inlineStr">
        <is>
          <t>Product Design &amp; Lifecycle Management</t>
        </is>
      </c>
      <c r="D78" s="11" t="inlineStr">
        <is>
          <t>High</t>
        </is>
      </c>
      <c r="E78" s="11">
        <f>COUNTIF('Company industries'!$H$2:$H$66,A78)</f>
        <v/>
      </c>
      <c r="F78" s="12" t="inlineStr">
        <is>
          <t>Yes</t>
        </is>
      </c>
      <c r="G78" s="12" t="n"/>
    </row>
    <row r="79">
      <c r="A79" s="10" t="inlineStr">
        <is>
          <t>Construction Materials</t>
        </is>
      </c>
      <c r="B79" s="9" t="inlineStr">
        <is>
          <t>Pricing Integrity &amp; Transparency</t>
        </is>
      </c>
      <c r="C79" s="9" t="inlineStr">
        <is>
          <t>Competitive Behavior</t>
        </is>
      </c>
      <c r="D79" s="11" t="inlineStr">
        <is>
          <t>High</t>
        </is>
      </c>
      <c r="E79" s="11">
        <f>COUNTIF('Company industries'!$H$2:$H$66,A79)</f>
        <v/>
      </c>
      <c r="F79" s="12" t="inlineStr">
        <is>
          <t>Yes</t>
        </is>
      </c>
      <c r="G79" s="12" t="n"/>
    </row>
    <row r="80">
      <c r="A80" s="10" t="inlineStr">
        <is>
          <t>Iron &amp; Steel Producers</t>
        </is>
      </c>
      <c r="B80" s="9" t="inlineStr">
        <is>
          <t>GHG Emissions</t>
        </is>
      </c>
      <c r="C80" s="9" t="inlineStr">
        <is>
          <t>GHG Emissions</t>
        </is>
      </c>
      <c r="D80" s="11" t="inlineStr">
        <is>
          <t>High</t>
        </is>
      </c>
      <c r="E80" s="11">
        <f>COUNTIF('Company industries'!$H$2:$H$66,A80)</f>
        <v/>
      </c>
      <c r="F80" s="12" t="inlineStr">
        <is>
          <t>Yes</t>
        </is>
      </c>
      <c r="G80" s="12" t="n"/>
    </row>
    <row r="81">
      <c r="A81" s="10" t="inlineStr">
        <is>
          <t>Iron &amp; Steel Producers</t>
        </is>
      </c>
      <c r="B81" s="9" t="inlineStr">
        <is>
          <t>Air Emissions</t>
        </is>
      </c>
      <c r="C81" s="9" t="inlineStr">
        <is>
          <t>Air Quality</t>
        </is>
      </c>
      <c r="D81" s="11" t="inlineStr">
        <is>
          <t>High</t>
        </is>
      </c>
      <c r="E81" s="11">
        <f>COUNTIF('Company industries'!$H$2:$H$66,A81)</f>
        <v/>
      </c>
      <c r="F81" s="12" t="inlineStr">
        <is>
          <t>Yes</t>
        </is>
      </c>
      <c r="G81" s="12" t="n"/>
    </row>
    <row r="82">
      <c r="A82" s="10" t="inlineStr">
        <is>
          <t>Iron &amp; Steel Producers</t>
        </is>
      </c>
      <c r="B82" s="9" t="inlineStr">
        <is>
          <t>Energy Management</t>
        </is>
      </c>
      <c r="C82" s="9" t="inlineStr">
        <is>
          <t>Energy Management</t>
        </is>
      </c>
      <c r="D82" s="11" t="inlineStr">
        <is>
          <t>High</t>
        </is>
      </c>
      <c r="E82" s="11">
        <f>COUNTIF('Company industries'!$H$2:$H$66,A82)</f>
        <v/>
      </c>
      <c r="F82" s="12" t="inlineStr">
        <is>
          <t>Yes</t>
        </is>
      </c>
      <c r="G82" s="12" t="n"/>
    </row>
    <row r="83">
      <c r="A83" s="10" t="inlineStr">
        <is>
          <t>Iron &amp; Steel Producers</t>
        </is>
      </c>
      <c r="B83" s="9" t="inlineStr">
        <is>
          <t>Water Management</t>
        </is>
      </c>
      <c r="C83" s="9" t="inlineStr">
        <is>
          <t>Water &amp; Wastewater Management</t>
        </is>
      </c>
      <c r="D83" s="11" t="inlineStr">
        <is>
          <t>High</t>
        </is>
      </c>
      <c r="E83" s="11">
        <f>COUNTIF('Company industries'!$H$2:$H$66,A83)</f>
        <v/>
      </c>
      <c r="F83" s="12" t="inlineStr">
        <is>
          <t>Yes</t>
        </is>
      </c>
      <c r="G83" s="12" t="n"/>
    </row>
    <row r="84">
      <c r="A84" s="10" t="inlineStr">
        <is>
          <t>Iron &amp; Steel Producers</t>
        </is>
      </c>
      <c r="B84" s="9" t="inlineStr">
        <is>
          <t>Waste Management</t>
        </is>
      </c>
      <c r="C84" s="9" t="inlineStr">
        <is>
          <t>Waste &amp; Hazardous Materials Management</t>
        </is>
      </c>
      <c r="D84" s="11" t="inlineStr">
        <is>
          <t>High</t>
        </is>
      </c>
      <c r="E84" s="11">
        <f>COUNTIF('Company industries'!$H$2:$H$66,A84)</f>
        <v/>
      </c>
      <c r="F84" s="12" t="inlineStr">
        <is>
          <t>Yes</t>
        </is>
      </c>
      <c r="G84" s="12" t="n"/>
    </row>
    <row r="85">
      <c r="A85" s="10" t="inlineStr">
        <is>
          <t>Iron &amp; Steel Producers</t>
        </is>
      </c>
      <c r="B85" s="9" t="inlineStr">
        <is>
          <t>Workforce Health &amp; Safety</t>
        </is>
      </c>
      <c r="C85" s="9" t="inlineStr">
        <is>
          <t>Employee Health &amp; Safety</t>
        </is>
      </c>
      <c r="D85" s="11" t="inlineStr">
        <is>
          <t>High</t>
        </is>
      </c>
      <c r="E85" s="11">
        <f>COUNTIF('Company industries'!$H$2:$H$66,A85)</f>
        <v/>
      </c>
      <c r="F85" s="12" t="inlineStr">
        <is>
          <t>Yes</t>
        </is>
      </c>
      <c r="G85" s="12" t="n"/>
    </row>
    <row r="86">
      <c r="A86" s="10" t="inlineStr">
        <is>
          <t>Iron &amp; Steel Producers</t>
        </is>
      </c>
      <c r="B86" s="9" t="inlineStr">
        <is>
          <t>Supply Chain Management</t>
        </is>
      </c>
      <c r="C86" s="9" t="inlineStr">
        <is>
          <t>Supply Chain Management</t>
        </is>
      </c>
      <c r="D86" s="11" t="inlineStr">
        <is>
          <t>Medium</t>
        </is>
      </c>
      <c r="E86" s="11">
        <f>COUNTIF('Company industries'!$H$2:$H$66,A86)</f>
        <v/>
      </c>
      <c r="F86" s="12" t="inlineStr">
        <is>
          <t>Yes</t>
        </is>
      </c>
      <c r="G86" s="12" t="n"/>
    </row>
    <row r="87">
      <c r="A87" s="10" t="inlineStr">
        <is>
          <t>Meat, Poultry &amp; Dairy</t>
        </is>
      </c>
      <c r="B87" s="9" t="inlineStr">
        <is>
          <t>GHG Emissions</t>
        </is>
      </c>
      <c r="C87" s="9" t="inlineStr">
        <is>
          <t>GHG Emissions</t>
        </is>
      </c>
      <c r="D87" s="11" t="inlineStr">
        <is>
          <t>High</t>
        </is>
      </c>
      <c r="E87" s="11">
        <f>COUNTIF('Company industries'!$H$2:$H$66,A87)</f>
        <v/>
      </c>
      <c r="F87" s="12" t="inlineStr">
        <is>
          <t>Yes</t>
        </is>
      </c>
      <c r="G87" s="12" t="n"/>
    </row>
    <row r="88">
      <c r="A88" s="10" t="inlineStr">
        <is>
          <t>Meat, Poultry &amp; Dairy</t>
        </is>
      </c>
      <c r="B88" s="9" t="inlineStr">
        <is>
          <t>Energy Management</t>
        </is>
      </c>
      <c r="C88" s="9" t="inlineStr">
        <is>
          <t>Energy Management</t>
        </is>
      </c>
      <c r="D88" s="11" t="inlineStr">
        <is>
          <t>High</t>
        </is>
      </c>
      <c r="E88" s="11">
        <f>COUNTIF('Company industries'!$H$2:$H$66,A88)</f>
        <v/>
      </c>
      <c r="F88" s="12" t="inlineStr">
        <is>
          <t>Yes</t>
        </is>
      </c>
      <c r="G88" s="12" t="n"/>
    </row>
    <row r="89">
      <c r="A89" s="10" t="inlineStr">
        <is>
          <t>Meat, Poultry &amp; Dairy</t>
        </is>
      </c>
      <c r="B89" s="9" t="inlineStr">
        <is>
          <t>Water Management</t>
        </is>
      </c>
      <c r="C89" s="9" t="inlineStr">
        <is>
          <t>Water &amp; Wastewater Management</t>
        </is>
      </c>
      <c r="D89" s="11" t="inlineStr">
        <is>
          <t>High</t>
        </is>
      </c>
      <c r="E89" s="11">
        <f>COUNTIF('Company industries'!$H$2:$H$66,A89)</f>
        <v/>
      </c>
      <c r="F89" s="12" t="inlineStr">
        <is>
          <t>Yes</t>
        </is>
      </c>
      <c r="G89" s="12" t="n"/>
    </row>
    <row r="90">
      <c r="A90" s="10" t="inlineStr">
        <is>
          <t>Meat, Poultry &amp; Dairy</t>
        </is>
      </c>
      <c r="B90" s="9" t="inlineStr">
        <is>
          <t>Land Use &amp; Ecological Impacts</t>
        </is>
      </c>
      <c r="C90" s="9" t="inlineStr">
        <is>
          <t>Ecological Impacts</t>
        </is>
      </c>
      <c r="D90" s="11" t="inlineStr">
        <is>
          <t>High</t>
        </is>
      </c>
      <c r="E90" s="11">
        <f>COUNTIF('Company industries'!$H$2:$H$66,A90)</f>
        <v/>
      </c>
      <c r="F90" s="12" t="inlineStr">
        <is>
          <t>Yes</t>
        </is>
      </c>
      <c r="G90" s="12" t="n"/>
    </row>
    <row r="91">
      <c r="A91" s="10" t="inlineStr">
        <is>
          <t>Meat, Poultry &amp; Dairy</t>
        </is>
      </c>
      <c r="B91" s="9" t="inlineStr">
        <is>
          <t>Food Safety</t>
        </is>
      </c>
      <c r="C91" s="9" t="inlineStr">
        <is>
          <t>Product Quality &amp; Safety</t>
        </is>
      </c>
      <c r="D91" s="11" t="inlineStr">
        <is>
          <t>High</t>
        </is>
      </c>
      <c r="E91" s="11">
        <f>COUNTIF('Company industries'!$H$2:$H$66,A91)</f>
        <v/>
      </c>
      <c r="F91" s="12" t="inlineStr">
        <is>
          <t>Yes</t>
        </is>
      </c>
      <c r="G91" s="12" t="n"/>
    </row>
    <row r="92">
      <c r="A92" s="10" t="inlineStr">
        <is>
          <t>Meat, Poultry &amp; Dairy</t>
        </is>
      </c>
      <c r="B92" s="9" t="inlineStr">
        <is>
          <t>Antibiotic Use in Animal Production</t>
        </is>
      </c>
      <c r="C92" s="9" t="inlineStr">
        <is>
          <t>Product Quality &amp; Safety</t>
        </is>
      </c>
      <c r="D92" s="11" t="inlineStr">
        <is>
          <t>Medium</t>
        </is>
      </c>
      <c r="E92" s="11">
        <f>COUNTIF('Company industries'!$H$2:$H$66,A92)</f>
        <v/>
      </c>
      <c r="F92" s="12" t="inlineStr">
        <is>
          <t>Yes</t>
        </is>
      </c>
      <c r="G92" s="12" t="n"/>
    </row>
    <row r="93">
      <c r="A93" s="10" t="inlineStr">
        <is>
          <t>Meat, Poultry &amp; Dairy</t>
        </is>
      </c>
      <c r="B93" s="9" t="inlineStr">
        <is>
          <t>Workforce Health &amp; Safety</t>
        </is>
      </c>
      <c r="C93" s="9" t="inlineStr">
        <is>
          <t>Employee Health &amp; Safety</t>
        </is>
      </c>
      <c r="D93" s="11" t="inlineStr">
        <is>
          <t>High</t>
        </is>
      </c>
      <c r="E93" s="11">
        <f>COUNTIF('Company industries'!$H$2:$H$66,A93)</f>
        <v/>
      </c>
      <c r="F93" s="12" t="inlineStr">
        <is>
          <t>Yes</t>
        </is>
      </c>
      <c r="G93" s="12" t="n"/>
    </row>
    <row r="94">
      <c r="A94" s="10" t="inlineStr">
        <is>
          <t>Meat, Poultry &amp; Dairy</t>
        </is>
      </c>
      <c r="B94" s="9" t="inlineStr">
        <is>
          <t>Animal Care &amp; Welfare</t>
        </is>
      </c>
      <c r="C94" s="9" t="inlineStr">
        <is>
          <t>Supply Chain Management</t>
        </is>
      </c>
      <c r="D94" s="11" t="inlineStr">
        <is>
          <t>Medium</t>
        </is>
      </c>
      <c r="E94" s="11">
        <f>COUNTIF('Company industries'!$H$2:$H$66,A94)</f>
        <v/>
      </c>
      <c r="F94" s="12" t="inlineStr">
        <is>
          <t>Yes</t>
        </is>
      </c>
      <c r="G94" s="12" t="n"/>
    </row>
    <row r="95">
      <c r="A95" s="10" t="inlineStr">
        <is>
          <t>Meat, Poultry &amp; Dairy</t>
        </is>
      </c>
      <c r="B95" s="9" t="inlineStr">
        <is>
          <t>Environmental &amp; Social Impacts of Animal Supply Chain</t>
        </is>
      </c>
      <c r="C95" s="9" t="inlineStr">
        <is>
          <t>Supply Chain Management</t>
        </is>
      </c>
      <c r="D95" s="11" t="inlineStr">
        <is>
          <t>High</t>
        </is>
      </c>
      <c r="E95" s="11">
        <f>COUNTIF('Company industries'!$H$2:$H$66,A95)</f>
        <v/>
      </c>
      <c r="F95" s="12" t="inlineStr">
        <is>
          <t>Yes</t>
        </is>
      </c>
      <c r="G95" s="12" t="n"/>
    </row>
    <row r="96">
      <c r="A96" s="10" t="inlineStr">
        <is>
          <t>Meat, Poultry &amp; Dairy</t>
        </is>
      </c>
      <c r="B96" s="9" t="inlineStr">
        <is>
          <t>Animal &amp; Feed Sourcing</t>
        </is>
      </c>
      <c r="C96" s="9" t="inlineStr">
        <is>
          <t>Materials Sourcing &amp; Efficiency</t>
        </is>
      </c>
      <c r="D96" s="11" t="inlineStr">
        <is>
          <t>Medium</t>
        </is>
      </c>
      <c r="E96" s="11">
        <f>COUNTIF('Company industries'!$H$2:$H$66,A96)</f>
        <v/>
      </c>
      <c r="F96" s="12" t="inlineStr">
        <is>
          <t>Yes</t>
        </is>
      </c>
      <c r="G96" s="12" t="n"/>
    </row>
    <row r="97">
      <c r="A97" s="10" t="inlineStr">
        <is>
          <t>Processed Foods</t>
        </is>
      </c>
      <c r="B97" s="9" t="inlineStr">
        <is>
          <t>Energy Management</t>
        </is>
      </c>
      <c r="C97" s="9" t="inlineStr">
        <is>
          <t>Energy Management</t>
        </is>
      </c>
      <c r="D97" s="11" t="inlineStr">
        <is>
          <t>High</t>
        </is>
      </c>
      <c r="E97" s="11">
        <f>COUNTIF('Company industries'!$H$2:$H$66,A97)</f>
        <v/>
      </c>
      <c r="F97" s="12" t="inlineStr">
        <is>
          <t>Yes</t>
        </is>
      </c>
      <c r="G97" s="12" t="n"/>
    </row>
    <row r="98">
      <c r="A98" s="10" t="inlineStr">
        <is>
          <t>Processed Foods</t>
        </is>
      </c>
      <c r="B98" s="9" t="inlineStr">
        <is>
          <t>Water Management</t>
        </is>
      </c>
      <c r="C98" s="9" t="inlineStr">
        <is>
          <t>Water &amp; Wastewater Management</t>
        </is>
      </c>
      <c r="D98" s="11" t="inlineStr">
        <is>
          <t>High</t>
        </is>
      </c>
      <c r="E98" s="11">
        <f>COUNTIF('Company industries'!$H$2:$H$66,A98)</f>
        <v/>
      </c>
      <c r="F98" s="12" t="inlineStr">
        <is>
          <t>Yes</t>
        </is>
      </c>
      <c r="G98" s="12" t="n"/>
    </row>
    <row r="99">
      <c r="A99" s="10" t="inlineStr">
        <is>
          <t>Processed Foods</t>
        </is>
      </c>
      <c r="B99" s="9" t="inlineStr">
        <is>
          <t>Food Safety</t>
        </is>
      </c>
      <c r="C99" s="9" t="inlineStr">
        <is>
          <t>Product Quality &amp; Safety</t>
        </is>
      </c>
      <c r="D99" s="11" t="inlineStr">
        <is>
          <t>High</t>
        </is>
      </c>
      <c r="E99" s="11">
        <f>COUNTIF('Company industries'!$H$2:$H$66,A99)</f>
        <v/>
      </c>
      <c r="F99" s="12" t="inlineStr">
        <is>
          <t>Yes</t>
        </is>
      </c>
      <c r="G99" s="12" t="n"/>
    </row>
    <row r="100">
      <c r="A100" s="10" t="inlineStr">
        <is>
          <t>Processed Foods</t>
        </is>
      </c>
      <c r="B100" s="9" t="inlineStr">
        <is>
          <t>Health &amp; Nutrition</t>
        </is>
      </c>
      <c r="C100" s="9" t="inlineStr">
        <is>
          <t>Customer Welfare</t>
        </is>
      </c>
      <c r="D100" s="11" t="inlineStr">
        <is>
          <t>High</t>
        </is>
      </c>
      <c r="E100" s="11">
        <f>COUNTIF('Company industries'!$H$2:$H$66,A100)</f>
        <v/>
      </c>
      <c r="F100" s="12" t="inlineStr">
        <is>
          <t>Yes</t>
        </is>
      </c>
      <c r="G100" s="12" t="n"/>
    </row>
    <row r="101">
      <c r="A101" s="10" t="inlineStr">
        <is>
          <t>Processed Foods</t>
        </is>
      </c>
      <c r="B101" s="9" t="inlineStr">
        <is>
          <t>Product Labelling &amp; Marketing</t>
        </is>
      </c>
      <c r="C101" s="9" t="inlineStr">
        <is>
          <t>Selling Practices &amp; Product Labeling</t>
        </is>
      </c>
      <c r="D101" s="11" t="inlineStr">
        <is>
          <t>High</t>
        </is>
      </c>
      <c r="E101" s="11">
        <f>COUNTIF('Company industries'!$H$2:$H$66,A101)</f>
        <v/>
      </c>
      <c r="F101" s="12" t="inlineStr">
        <is>
          <t>Yes</t>
        </is>
      </c>
      <c r="G101" s="12" t="n"/>
    </row>
    <row r="102">
      <c r="A102" s="10" t="inlineStr">
        <is>
          <t>Processed Foods</t>
        </is>
      </c>
      <c r="B102" s="9" t="inlineStr">
        <is>
          <t>Packaging Lifecycle Management</t>
        </is>
      </c>
      <c r="C102" s="9" t="inlineStr">
        <is>
          <t>Product Design &amp; Lifecycle Management</t>
        </is>
      </c>
      <c r="D102" s="11" t="inlineStr">
        <is>
          <t>High</t>
        </is>
      </c>
      <c r="E102" s="11">
        <f>COUNTIF('Company industries'!$H$2:$H$66,A102)</f>
        <v/>
      </c>
      <c r="F102" s="12" t="inlineStr">
        <is>
          <t>Yes</t>
        </is>
      </c>
      <c r="G102" s="12" t="n"/>
    </row>
    <row r="103" ht="25.5" customHeight="1">
      <c r="A103" s="10" t="inlineStr">
        <is>
          <t>Processed Foods</t>
        </is>
      </c>
      <c r="B103" s="9" t="inlineStr">
        <is>
          <t>Environmental &amp; Social Impacts of Ingredient Supply Chain</t>
        </is>
      </c>
      <c r="C103" s="9" t="inlineStr">
        <is>
          <t>Supply Chain Management</t>
        </is>
      </c>
      <c r="D103" s="11" t="inlineStr">
        <is>
          <t>High</t>
        </is>
      </c>
      <c r="E103" s="11">
        <f>COUNTIF('Company industries'!$H$2:$H$66,A103)</f>
        <v/>
      </c>
      <c r="F103" s="12" t="inlineStr">
        <is>
          <t>Yes</t>
        </is>
      </c>
      <c r="G103" s="12" t="n"/>
    </row>
    <row r="104">
      <c r="A104" s="10" t="inlineStr">
        <is>
          <t>Processed Foods</t>
        </is>
      </c>
      <c r="B104" s="9" t="inlineStr">
        <is>
          <t>Ingredient Sourcing</t>
        </is>
      </c>
      <c r="C104" s="9" t="inlineStr">
        <is>
          <t>Materials Sourcing &amp; Efficiency</t>
        </is>
      </c>
      <c r="D104" s="11" t="inlineStr">
        <is>
          <t>High</t>
        </is>
      </c>
      <c r="E104" s="11">
        <f>COUNTIF('Company industries'!$H$2:$H$66,A104)</f>
        <v/>
      </c>
      <c r="F104" s="12" t="inlineStr">
        <is>
          <t>Yes</t>
        </is>
      </c>
      <c r="G104" s="12" t="n"/>
    </row>
    <row r="105">
      <c r="A105" s="10" t="inlineStr">
        <is>
          <t>Food Retailers &amp; Distributors</t>
        </is>
      </c>
      <c r="B105" s="9" t="inlineStr">
        <is>
          <t>Fleet Fuel Management</t>
        </is>
      </c>
      <c r="C105" s="9" t="inlineStr">
        <is>
          <t>Energy Management</t>
        </is>
      </c>
      <c r="D105" s="11" t="inlineStr">
        <is>
          <t>Medium</t>
        </is>
      </c>
      <c r="E105" s="11">
        <f>COUNTIF('Company industries'!$H$2:$H$66,A105)</f>
        <v/>
      </c>
      <c r="F105" s="12" t="inlineStr">
        <is>
          <t>Yes</t>
        </is>
      </c>
      <c r="G105" s="12" t="n"/>
    </row>
    <row r="106">
      <c r="A106" s="10" t="inlineStr">
        <is>
          <t>Food Retailers &amp; Distributors</t>
        </is>
      </c>
      <c r="B106" s="9" t="inlineStr">
        <is>
          <t>Air Emissions from Refrigeration</t>
        </is>
      </c>
      <c r="C106" s="9" t="inlineStr">
        <is>
          <t>GHG Emissions</t>
        </is>
      </c>
      <c r="D106" s="11" t="inlineStr">
        <is>
          <t>Medium</t>
        </is>
      </c>
      <c r="E106" s="11">
        <f>COUNTIF('Company industries'!$H$2:$H$66,A106)</f>
        <v/>
      </c>
      <c r="F106" s="12" t="inlineStr">
        <is>
          <t>Yes</t>
        </is>
      </c>
      <c r="G106" s="12" t="n"/>
    </row>
    <row r="107">
      <c r="A107" s="10" t="inlineStr">
        <is>
          <t>Food Retailers &amp; Distributors</t>
        </is>
      </c>
      <c r="B107" s="9" t="inlineStr">
        <is>
          <t>Energy Management</t>
        </is>
      </c>
      <c r="C107" s="9" t="inlineStr">
        <is>
          <t>Energy Management</t>
        </is>
      </c>
      <c r="D107" s="11" t="inlineStr">
        <is>
          <t>High</t>
        </is>
      </c>
      <c r="E107" s="11">
        <f>COUNTIF('Company industries'!$H$2:$H$66,A107)</f>
        <v/>
      </c>
      <c r="F107" s="12" t="inlineStr">
        <is>
          <t>Yes</t>
        </is>
      </c>
      <c r="G107" s="12" t="n"/>
    </row>
    <row r="108">
      <c r="A108" s="10" t="inlineStr">
        <is>
          <t>Food Retailers &amp; Distributors</t>
        </is>
      </c>
      <c r="B108" s="9" t="inlineStr">
        <is>
          <t>Food Waste Management</t>
        </is>
      </c>
      <c r="C108" s="9" t="inlineStr">
        <is>
          <t>Waste &amp; Hazardous Materials Management</t>
        </is>
      </c>
      <c r="D108" s="11" t="inlineStr">
        <is>
          <t>High</t>
        </is>
      </c>
      <c r="E108" s="11">
        <f>COUNTIF('Company industries'!$H$2:$H$66,A108)</f>
        <v/>
      </c>
      <c r="F108" s="12" t="inlineStr">
        <is>
          <t>Yes</t>
        </is>
      </c>
      <c r="G108" s="12" t="n"/>
    </row>
    <row r="109">
      <c r="A109" s="10" t="inlineStr">
        <is>
          <t>Food Retailers &amp; Distributors</t>
        </is>
      </c>
      <c r="B109" s="9" t="inlineStr">
        <is>
          <t>Data Security</t>
        </is>
      </c>
      <c r="C109" s="9" t="inlineStr">
        <is>
          <t>Data Security</t>
        </is>
      </c>
      <c r="D109" s="11" t="inlineStr">
        <is>
          <t>High</t>
        </is>
      </c>
      <c r="E109" s="11">
        <f>COUNTIF('Company industries'!$H$2:$H$66,A109)</f>
        <v/>
      </c>
      <c r="F109" s="12" t="inlineStr">
        <is>
          <t>Yes</t>
        </is>
      </c>
      <c r="G109" s="12" t="n"/>
    </row>
    <row r="110">
      <c r="A110" s="10" t="inlineStr">
        <is>
          <t>Food Retailers &amp; Distributors</t>
        </is>
      </c>
      <c r="B110" s="9" t="inlineStr">
        <is>
          <t>Food Safety</t>
        </is>
      </c>
      <c r="C110" s="9" t="inlineStr">
        <is>
          <t>Product Quality &amp; Safety</t>
        </is>
      </c>
      <c r="D110" s="11" t="inlineStr">
        <is>
          <t>High</t>
        </is>
      </c>
      <c r="E110" s="11">
        <f>COUNTIF('Company industries'!$H$2:$H$66,A110)</f>
        <v/>
      </c>
      <c r="F110" s="12" t="inlineStr">
        <is>
          <t>Yes</t>
        </is>
      </c>
      <c r="G110" s="12" t="n"/>
    </row>
    <row r="111">
      <c r="A111" s="10" t="inlineStr">
        <is>
          <t>Food Retailers &amp; Distributors</t>
        </is>
      </c>
      <c r="B111" s="9" t="inlineStr">
        <is>
          <t>Product Health &amp; Nutrition</t>
        </is>
      </c>
      <c r="C111" s="9" t="inlineStr">
        <is>
          <t>Customer Welfare</t>
        </is>
      </c>
      <c r="D111" s="11" t="inlineStr">
        <is>
          <t>High</t>
        </is>
      </c>
      <c r="E111" s="11">
        <f>COUNTIF('Company industries'!$H$2:$H$66,A111)</f>
        <v/>
      </c>
      <c r="F111" s="12" t="inlineStr">
        <is>
          <t>Yes</t>
        </is>
      </c>
      <c r="G111" s="12" t="n"/>
    </row>
    <row r="112">
      <c r="A112" s="10" t="inlineStr">
        <is>
          <t>Food Retailers &amp; Distributors</t>
        </is>
      </c>
      <c r="B112" s="9" t="inlineStr">
        <is>
          <t>Product Labelling &amp; Marketing</t>
        </is>
      </c>
      <c r="C112" s="9" t="inlineStr">
        <is>
          <t>Selling Practices &amp; Product Labeling</t>
        </is>
      </c>
      <c r="D112" s="11" t="inlineStr">
        <is>
          <t>High</t>
        </is>
      </c>
      <c r="E112" s="11">
        <f>COUNTIF('Company industries'!$H$2:$H$66,A112)</f>
        <v/>
      </c>
      <c r="F112" s="12" t="inlineStr">
        <is>
          <t>Yes</t>
        </is>
      </c>
      <c r="G112" s="12" t="n"/>
    </row>
    <row r="113">
      <c r="A113" s="10" t="inlineStr">
        <is>
          <t>Food Retailers &amp; Distributors</t>
        </is>
      </c>
      <c r="B113" s="9" t="inlineStr">
        <is>
          <t>Labour Practices</t>
        </is>
      </c>
      <c r="C113" s="9" t="inlineStr">
        <is>
          <t>Labor Practices</t>
        </is>
      </c>
      <c r="D113" s="11" t="inlineStr">
        <is>
          <t>High</t>
        </is>
      </c>
      <c r="E113" s="11">
        <f>COUNTIF('Company industries'!$H$2:$H$66,A113)</f>
        <v/>
      </c>
      <c r="F113" s="12" t="inlineStr">
        <is>
          <t>Yes</t>
        </is>
      </c>
      <c r="G113" s="12" t="n"/>
    </row>
    <row r="114" ht="25.5" customHeight="1">
      <c r="A114" s="10" t="inlineStr">
        <is>
          <t>Food Retailers &amp; Distributors</t>
        </is>
      </c>
      <c r="B114" s="9" t="inlineStr">
        <is>
          <t>Management of Environmental &amp; Social Impacts in the Supply Chain</t>
        </is>
      </c>
      <c r="C114" s="9" t="inlineStr">
        <is>
          <t>Supply Chain Management</t>
        </is>
      </c>
      <c r="D114" s="11" t="inlineStr">
        <is>
          <t>High</t>
        </is>
      </c>
      <c r="E114" s="11">
        <f>COUNTIF('Company industries'!$H$2:$H$66,A114)</f>
        <v/>
      </c>
      <c r="F114" s="12" t="inlineStr">
        <is>
          <t>Yes</t>
        </is>
      </c>
      <c r="G114" s="12" t="n"/>
    </row>
    <row r="115">
      <c r="A115" s="10" t="inlineStr">
        <is>
          <t>Restaurants</t>
        </is>
      </c>
      <c r="B115" s="9" t="inlineStr">
        <is>
          <t>Energy Management</t>
        </is>
      </c>
      <c r="C115" s="9" t="inlineStr">
        <is>
          <t>Energy Management</t>
        </is>
      </c>
      <c r="D115" s="11" t="inlineStr">
        <is>
          <t>High</t>
        </is>
      </c>
      <c r="E115" s="11">
        <f>COUNTIF('Company industries'!$H$2:$H$66,A115)</f>
        <v/>
      </c>
      <c r="F115" s="12" t="inlineStr">
        <is>
          <t>Yes</t>
        </is>
      </c>
      <c r="G115" s="12" t="n"/>
    </row>
    <row r="116">
      <c r="A116" s="10" t="inlineStr">
        <is>
          <t>Restaurants</t>
        </is>
      </c>
      <c r="B116" s="9" t="inlineStr">
        <is>
          <t>Water Management</t>
        </is>
      </c>
      <c r="C116" s="9" t="inlineStr">
        <is>
          <t>Water &amp; Wastewater Management</t>
        </is>
      </c>
      <c r="D116" s="11" t="inlineStr">
        <is>
          <t>High</t>
        </is>
      </c>
      <c r="E116" s="11">
        <f>COUNTIF('Company industries'!$H$2:$H$66,A116)</f>
        <v/>
      </c>
      <c r="F116" s="12" t="inlineStr">
        <is>
          <t>Yes</t>
        </is>
      </c>
      <c r="G116" s="12" t="n"/>
    </row>
    <row r="117">
      <c r="A117" s="10" t="inlineStr">
        <is>
          <t>Restaurants</t>
        </is>
      </c>
      <c r="B117" s="9" t="inlineStr">
        <is>
          <t>Food &amp; Packaging Waste Management</t>
        </is>
      </c>
      <c r="C117" s="9" t="inlineStr">
        <is>
          <t>Waste &amp; Hazardous Materials Management</t>
        </is>
      </c>
      <c r="D117" s="11" t="inlineStr">
        <is>
          <t>High</t>
        </is>
      </c>
      <c r="E117" s="11">
        <f>COUNTIF('Company industries'!$H$2:$H$66,A117)</f>
        <v/>
      </c>
      <c r="F117" s="12" t="inlineStr">
        <is>
          <t>Yes</t>
        </is>
      </c>
      <c r="G117" s="12" t="n"/>
    </row>
    <row r="118">
      <c r="A118" s="10" t="inlineStr">
        <is>
          <t>Restaurants</t>
        </is>
      </c>
      <c r="B118" s="9" t="inlineStr">
        <is>
          <t>Food Safety</t>
        </is>
      </c>
      <c r="C118" s="9" t="inlineStr">
        <is>
          <t>Product Quality &amp; Safety</t>
        </is>
      </c>
      <c r="D118" s="11" t="inlineStr">
        <is>
          <t>High</t>
        </is>
      </c>
      <c r="E118" s="11">
        <f>COUNTIF('Company industries'!$H$2:$H$66,A118)</f>
        <v/>
      </c>
      <c r="F118" s="12" t="inlineStr">
        <is>
          <t>Yes</t>
        </is>
      </c>
      <c r="G118" s="12" t="n"/>
    </row>
    <row r="119">
      <c r="A119" s="10" t="inlineStr">
        <is>
          <t>Restaurants</t>
        </is>
      </c>
      <c r="B119" s="9" t="inlineStr">
        <is>
          <t>Nutritional Content</t>
        </is>
      </c>
      <c r="C119" s="9" t="inlineStr">
        <is>
          <t>Customer Welfare</t>
        </is>
      </c>
      <c r="D119" s="11" t="inlineStr">
        <is>
          <t>High</t>
        </is>
      </c>
      <c r="E119" s="11">
        <f>COUNTIF('Company industries'!$H$2:$H$66,A119)</f>
        <v/>
      </c>
      <c r="F119" s="12" t="inlineStr">
        <is>
          <t>Yes</t>
        </is>
      </c>
      <c r="G119" s="12" t="n"/>
    </row>
    <row r="120">
      <c r="A120" s="10" t="inlineStr">
        <is>
          <t>Restaurants</t>
        </is>
      </c>
      <c r="B120" s="9" t="inlineStr">
        <is>
          <t>Labour Practices</t>
        </is>
      </c>
      <c r="C120" s="9" t="inlineStr">
        <is>
          <t>Labor Practices</t>
        </is>
      </c>
      <c r="D120" s="11" t="inlineStr">
        <is>
          <t>High</t>
        </is>
      </c>
      <c r="E120" s="11">
        <f>COUNTIF('Company industries'!$H$2:$H$66,A120)</f>
        <v/>
      </c>
      <c r="F120" s="12" t="inlineStr">
        <is>
          <t>Yes</t>
        </is>
      </c>
      <c r="G120" s="12" t="n"/>
    </row>
    <row r="121">
      <c r="A121" s="10" t="inlineStr">
        <is>
          <t>Restaurants</t>
        </is>
      </c>
      <c r="B121" s="9" t="inlineStr">
        <is>
          <t>Supply Chain Management &amp; Food Sourcing</t>
        </is>
      </c>
      <c r="C121" s="9" t="inlineStr">
        <is>
          <t>Supply Chain Management</t>
        </is>
      </c>
      <c r="D121" s="11" t="inlineStr">
        <is>
          <t>High</t>
        </is>
      </c>
      <c r="E121" s="11">
        <f>COUNTIF('Company industries'!$H$2:$H$66,A121)</f>
        <v/>
      </c>
      <c r="F121" s="12" t="inlineStr">
        <is>
          <t>Yes</t>
        </is>
      </c>
      <c r="G121" s="12" t="n"/>
    </row>
    <row r="122" ht="25.5" customHeight="1">
      <c r="A122" s="10" t="inlineStr">
        <is>
          <t>Multiline and Specialty Retailers &amp; Distributors</t>
        </is>
      </c>
      <c r="B122" s="9" t="inlineStr">
        <is>
          <t>Energy Management in Retail &amp; Distribution</t>
        </is>
      </c>
      <c r="C122" s="9" t="inlineStr">
        <is>
          <t>Energy Management</t>
        </is>
      </c>
      <c r="D122" s="11" t="inlineStr">
        <is>
          <t>High</t>
        </is>
      </c>
      <c r="E122" s="11">
        <f>COUNTIF('Company industries'!$H$2:$H$66,A122)</f>
        <v/>
      </c>
      <c r="F122" s="12" t="inlineStr">
        <is>
          <t>Yes</t>
        </is>
      </c>
      <c r="G122" s="12" t="n"/>
    </row>
    <row r="123" ht="25.5" customHeight="1">
      <c r="A123" s="10" t="inlineStr">
        <is>
          <t>Multiline and Specialty Retailers &amp; Distributors</t>
        </is>
      </c>
      <c r="B123" s="9" t="inlineStr">
        <is>
          <t>Data Security</t>
        </is>
      </c>
      <c r="C123" s="9" t="inlineStr">
        <is>
          <t>Data Security</t>
        </is>
      </c>
      <c r="D123" s="11" t="inlineStr">
        <is>
          <t>High</t>
        </is>
      </c>
      <c r="E123" s="11">
        <f>COUNTIF('Company industries'!$H$2:$H$66,A123)</f>
        <v/>
      </c>
      <c r="F123" s="12" t="inlineStr">
        <is>
          <t>Yes</t>
        </is>
      </c>
      <c r="G123" s="12" t="n"/>
    </row>
    <row r="124" ht="25.5" customHeight="1">
      <c r="A124" s="10" t="inlineStr">
        <is>
          <t>Multiline and Specialty Retailers &amp; Distributors</t>
        </is>
      </c>
      <c r="B124" s="9" t="inlineStr">
        <is>
          <t>Labour Practices</t>
        </is>
      </c>
      <c r="C124" s="9" t="inlineStr">
        <is>
          <t>Labor Practices</t>
        </is>
      </c>
      <c r="D124" s="11" t="inlineStr">
        <is>
          <t>High</t>
        </is>
      </c>
      <c r="E124" s="11">
        <f>COUNTIF('Company industries'!$H$2:$H$66,A124)</f>
        <v/>
      </c>
      <c r="F124" s="12" t="inlineStr">
        <is>
          <t>Yes</t>
        </is>
      </c>
      <c r="G124" s="12" t="n"/>
    </row>
    <row r="125" ht="25.5" customHeight="1">
      <c r="A125" s="10" t="inlineStr">
        <is>
          <t>Multiline and Specialty Retailers &amp; Distributors</t>
        </is>
      </c>
      <c r="B125" s="9" t="inlineStr">
        <is>
          <t>Workforce Diversity &amp; Inclusion</t>
        </is>
      </c>
      <c r="C125" s="9" t="inlineStr">
        <is>
          <t>Employee Engagement, Diversity &amp; Inclusion</t>
        </is>
      </c>
      <c r="D125" s="11" t="inlineStr">
        <is>
          <t>High</t>
        </is>
      </c>
      <c r="E125" s="11">
        <f>COUNTIF('Company industries'!$H$2:$H$66,A125)</f>
        <v/>
      </c>
      <c r="F125" s="12" t="inlineStr">
        <is>
          <t>Yes</t>
        </is>
      </c>
      <c r="G125" s="12" t="n"/>
    </row>
    <row r="126" ht="25.5" customHeight="1">
      <c r="A126" s="10" t="inlineStr">
        <is>
          <t>Multiline and Specialty Retailers &amp; Distributors</t>
        </is>
      </c>
      <c r="B126" s="9" t="inlineStr">
        <is>
          <t>Product Sourcing, Packaging &amp; Marketing</t>
        </is>
      </c>
      <c r="C126" s="9" t="inlineStr">
        <is>
          <t>Supply Chain Management</t>
        </is>
      </c>
      <c r="D126" s="11" t="inlineStr">
        <is>
          <t>Medium</t>
        </is>
      </c>
      <c r="E126" s="11">
        <f>COUNTIF('Company industries'!$H$2:$H$66,A126)</f>
        <v/>
      </c>
      <c r="F126" s="12" t="inlineStr">
        <is>
          <t>Yes</t>
        </is>
      </c>
      <c r="G126" s="12" t="n"/>
    </row>
    <row r="127">
      <c r="A127" s="10" t="inlineStr">
        <is>
          <t>Health Care Delivery</t>
        </is>
      </c>
      <c r="B127" s="9" t="inlineStr">
        <is>
          <t>Energy Management</t>
        </is>
      </c>
      <c r="C127" s="9" t="inlineStr">
        <is>
          <t>Energy Management</t>
        </is>
      </c>
      <c r="D127" s="11" t="inlineStr">
        <is>
          <t>High</t>
        </is>
      </c>
      <c r="E127" s="11">
        <f>COUNTIF('Company industries'!$H$2:$H$66,A127)</f>
        <v/>
      </c>
      <c r="F127" s="12" t="inlineStr">
        <is>
          <t>Yes</t>
        </is>
      </c>
      <c r="G127" s="12" t="n"/>
    </row>
    <row r="128">
      <c r="A128" s="10" t="inlineStr">
        <is>
          <t>Health Care Delivery</t>
        </is>
      </c>
      <c r="B128" s="9" t="inlineStr">
        <is>
          <t>Waste Management</t>
        </is>
      </c>
      <c r="C128" s="9" t="inlineStr">
        <is>
          <t>Waste &amp; Hazardous Materials Management</t>
        </is>
      </c>
      <c r="D128" s="11" t="inlineStr">
        <is>
          <t>High</t>
        </is>
      </c>
      <c r="E128" s="11">
        <f>COUNTIF('Company industries'!$H$2:$H$66,A128)</f>
        <v/>
      </c>
      <c r="F128" s="12" t="inlineStr">
        <is>
          <t>Yes</t>
        </is>
      </c>
      <c r="G128" s="12" t="n"/>
    </row>
    <row r="129">
      <c r="A129" s="10" t="inlineStr">
        <is>
          <t>Health Care Delivery</t>
        </is>
      </c>
      <c r="B129" s="9" t="inlineStr">
        <is>
          <t>Patient Privacy &amp; Electronic Health Records</t>
        </is>
      </c>
      <c r="C129" s="9" t="inlineStr">
        <is>
          <t>Customer Privacy</t>
        </is>
      </c>
      <c r="D129" s="11" t="inlineStr">
        <is>
          <t>High</t>
        </is>
      </c>
      <c r="E129" s="11">
        <f>COUNTIF('Company industries'!$H$2:$H$66,A129)</f>
        <v/>
      </c>
      <c r="F129" s="12" t="inlineStr">
        <is>
          <t>Yes</t>
        </is>
      </c>
      <c r="G129" s="12" t="n"/>
    </row>
    <row r="130">
      <c r="A130" s="10" t="inlineStr">
        <is>
          <t>Health Care Delivery</t>
        </is>
      </c>
      <c r="B130" s="9" t="inlineStr">
        <is>
          <t>Access for Low-Income Patients</t>
        </is>
      </c>
      <c r="C130" s="9" t="inlineStr">
        <is>
          <t>Access &amp; Affordability</t>
        </is>
      </c>
      <c r="D130" s="11" t="inlineStr">
        <is>
          <t>High</t>
        </is>
      </c>
      <c r="E130" s="11">
        <f>COUNTIF('Company industries'!$H$2:$H$66,A130)</f>
        <v/>
      </c>
      <c r="F130" s="12" t="inlineStr">
        <is>
          <t>Yes</t>
        </is>
      </c>
      <c r="G130" s="12" t="n"/>
    </row>
    <row r="131">
      <c r="A131" s="10" t="inlineStr">
        <is>
          <t>Health Care Delivery</t>
        </is>
      </c>
      <c r="B131" s="9" t="inlineStr">
        <is>
          <t>Quality of Care &amp; Patient Satisfaction</t>
        </is>
      </c>
      <c r="C131" s="9" t="inlineStr">
        <is>
          <t>Product Quality &amp; Safety</t>
        </is>
      </c>
      <c r="D131" s="11" t="inlineStr">
        <is>
          <t>High</t>
        </is>
      </c>
      <c r="E131" s="11">
        <f>COUNTIF('Company industries'!$H$2:$H$66,A131)</f>
        <v/>
      </c>
      <c r="F131" s="12" t="inlineStr">
        <is>
          <t>Yes</t>
        </is>
      </c>
      <c r="G131" s="12" t="n"/>
    </row>
    <row r="132">
      <c r="A132" s="10" t="inlineStr">
        <is>
          <t>Health Care Delivery</t>
        </is>
      </c>
      <c r="B132" s="9" t="inlineStr">
        <is>
          <t>Management of Controlled Substances</t>
        </is>
      </c>
      <c r="C132" s="9" t="inlineStr">
        <is>
          <t>Customer Welfare</t>
        </is>
      </c>
      <c r="D132" s="11" t="inlineStr">
        <is>
          <t>Medium</t>
        </is>
      </c>
      <c r="E132" s="11">
        <f>COUNTIF('Company industries'!$H$2:$H$66,A132)</f>
        <v/>
      </c>
      <c r="F132" s="12" t="inlineStr">
        <is>
          <t>Yes</t>
        </is>
      </c>
      <c r="G132" s="12" t="n"/>
    </row>
    <row r="133">
      <c r="A133" s="10" t="inlineStr">
        <is>
          <t>Health Care Delivery</t>
        </is>
      </c>
      <c r="B133" s="9" t="inlineStr">
        <is>
          <t>Pricing &amp; Billing Transparency</t>
        </is>
      </c>
      <c r="C133" s="9" t="inlineStr">
        <is>
          <t>Selling Practices &amp; Product Labeling</t>
        </is>
      </c>
      <c r="D133" s="11" t="inlineStr">
        <is>
          <t>High</t>
        </is>
      </c>
      <c r="E133" s="11">
        <f>COUNTIF('Company industries'!$H$2:$H$66,A133)</f>
        <v/>
      </c>
      <c r="F133" s="12" t="inlineStr">
        <is>
          <t>Yes</t>
        </is>
      </c>
      <c r="G133" s="12" t="n"/>
    </row>
    <row r="134">
      <c r="A134" s="10" t="inlineStr">
        <is>
          <t>Health Care Delivery</t>
        </is>
      </c>
      <c r="B134" s="9" t="inlineStr">
        <is>
          <t>Employee Recruitment, Development &amp; Retention</t>
        </is>
      </c>
      <c r="C134" s="9" t="inlineStr">
        <is>
          <t>Employee Engagement, Diversity &amp; Inclusion</t>
        </is>
      </c>
      <c r="D134" s="11" t="inlineStr">
        <is>
          <t>Medium</t>
        </is>
      </c>
      <c r="E134" s="11">
        <f>COUNTIF('Company industries'!$H$2:$H$66,A134)</f>
        <v/>
      </c>
      <c r="F134" s="12" t="inlineStr">
        <is>
          <t>Yes</t>
        </is>
      </c>
      <c r="G134" s="12" t="n"/>
    </row>
    <row r="135" ht="25.5" customHeight="1">
      <c r="A135" s="10" t="inlineStr">
        <is>
          <t>Health Care Delivery</t>
        </is>
      </c>
      <c r="B135" s="9" t="inlineStr">
        <is>
          <t>Climate Change Impacts on Human Health &amp; Infrastructure</t>
        </is>
      </c>
      <c r="C135" s="9" t="inlineStr">
        <is>
          <t>Physical Impacts of Climate Change</t>
        </is>
      </c>
      <c r="D135" s="11" t="inlineStr">
        <is>
          <t>High</t>
        </is>
      </c>
      <c r="E135" s="11">
        <f>COUNTIF('Company industries'!$H$2:$H$66,A135)</f>
        <v/>
      </c>
      <c r="F135" s="12" t="inlineStr">
        <is>
          <t>Yes</t>
        </is>
      </c>
      <c r="G135" s="12" t="n"/>
    </row>
    <row r="136">
      <c r="A136" s="10" t="inlineStr">
        <is>
          <t>Health Care Delivery</t>
        </is>
      </c>
      <c r="B136" s="9" t="inlineStr">
        <is>
          <t>Fraud &amp; Unnecessary Procedures</t>
        </is>
      </c>
      <c r="C136" s="9" t="inlineStr">
        <is>
          <t>Business Ethics</t>
        </is>
      </c>
      <c r="D136" s="11" t="inlineStr">
        <is>
          <t>High</t>
        </is>
      </c>
      <c r="E136" s="11">
        <f>COUNTIF('Company industries'!$H$2:$H$66,A136)</f>
        <v/>
      </c>
      <c r="F136" s="12" t="inlineStr">
        <is>
          <t>Yes</t>
        </is>
      </c>
      <c r="G136" s="12" t="n"/>
    </row>
    <row r="137">
      <c r="A137" s="10" t="inlineStr">
        <is>
          <t>Home Builders</t>
        </is>
      </c>
      <c r="B137" s="9" t="inlineStr">
        <is>
          <t>Land Use &amp; Ecological Impacts</t>
        </is>
      </c>
      <c r="C137" s="9" t="inlineStr">
        <is>
          <t>Ecological Impacts</t>
        </is>
      </c>
      <c r="D137" s="11" t="inlineStr">
        <is>
          <t>High</t>
        </is>
      </c>
      <c r="E137" s="11">
        <f>COUNTIF('Company industries'!$H$2:$H$66,A137)</f>
        <v/>
      </c>
      <c r="F137" s="12" t="inlineStr">
        <is>
          <t>Yes</t>
        </is>
      </c>
      <c r="G137" s="12" t="n"/>
    </row>
    <row r="138">
      <c r="A138" s="10" t="inlineStr">
        <is>
          <t>Home Builders</t>
        </is>
      </c>
      <c r="B138" s="9" t="inlineStr">
        <is>
          <t>Workforce Health &amp; Safety</t>
        </is>
      </c>
      <c r="C138" s="9" t="inlineStr">
        <is>
          <t>Employee Health &amp; Safety</t>
        </is>
      </c>
      <c r="D138" s="11" t="inlineStr">
        <is>
          <t>High</t>
        </is>
      </c>
      <c r="E138" s="11">
        <f>COUNTIF('Company industries'!$H$2:$H$66,A138)</f>
        <v/>
      </c>
      <c r="F138" s="12" t="inlineStr">
        <is>
          <t>Yes</t>
        </is>
      </c>
      <c r="G138" s="12" t="n"/>
    </row>
    <row r="139">
      <c r="A139" s="10" t="inlineStr">
        <is>
          <t>Home Builders</t>
        </is>
      </c>
      <c r="B139" s="9" t="inlineStr">
        <is>
          <t>Design for Resource Efficiency</t>
        </is>
      </c>
      <c r="C139" s="9" t="inlineStr">
        <is>
          <t>Product Design &amp; Lifecycle Management</t>
        </is>
      </c>
      <c r="D139" s="11" t="inlineStr">
        <is>
          <t>High</t>
        </is>
      </c>
      <c r="E139" s="11">
        <f>COUNTIF('Company industries'!$H$2:$H$66,A139)</f>
        <v/>
      </c>
      <c r="F139" s="12" t="inlineStr">
        <is>
          <t>Yes</t>
        </is>
      </c>
      <c r="G139" s="12" t="n"/>
    </row>
    <row r="140">
      <c r="A140" s="10" t="inlineStr">
        <is>
          <t>Home Builders</t>
        </is>
      </c>
      <c r="B140" s="9" t="inlineStr">
        <is>
          <t>Community Impacts of New Developments</t>
        </is>
      </c>
      <c r="C140" s="9" t="inlineStr">
        <is>
          <t>Human Rights &amp; Community Relations</t>
        </is>
      </c>
      <c r="D140" s="11" t="inlineStr">
        <is>
          <t>Medium</t>
        </is>
      </c>
      <c r="E140" s="11">
        <f>COUNTIF('Company industries'!$H$2:$H$66,A140)</f>
        <v/>
      </c>
      <c r="F140" s="12" t="inlineStr">
        <is>
          <t>Yes</t>
        </is>
      </c>
      <c r="G140" s="12" t="n"/>
    </row>
    <row r="141">
      <c r="A141" s="10" t="inlineStr">
        <is>
          <t>Home Builders</t>
        </is>
      </c>
      <c r="B141" s="9" t="inlineStr">
        <is>
          <t>Climate Change Adaptation</t>
        </is>
      </c>
      <c r="C141" s="9" t="inlineStr">
        <is>
          <t>Physical Impacts of Climate Change</t>
        </is>
      </c>
      <c r="D141" s="11" t="inlineStr">
        <is>
          <t>High</t>
        </is>
      </c>
      <c r="E141" s="11">
        <f>COUNTIF('Company industries'!$H$2:$H$66,A141)</f>
        <v/>
      </c>
      <c r="F141" s="12" t="inlineStr">
        <is>
          <t>Yes</t>
        </is>
      </c>
      <c r="G141" s="12" t="n"/>
    </row>
    <row r="142">
      <c r="A142" s="10" t="inlineStr">
        <is>
          <t>Real Estate</t>
        </is>
      </c>
      <c r="B142" s="9" t="inlineStr">
        <is>
          <t>Energy Management</t>
        </is>
      </c>
      <c r="C142" s="9" t="inlineStr">
        <is>
          <t>Energy Management</t>
        </is>
      </c>
      <c r="D142" s="11" t="inlineStr">
        <is>
          <t>High</t>
        </is>
      </c>
      <c r="E142" s="11">
        <f>COUNTIF('Company industries'!$H$2:$H$66,A142)</f>
        <v/>
      </c>
      <c r="F142" s="12" t="inlineStr">
        <is>
          <t>Yes</t>
        </is>
      </c>
      <c r="G142" s="12" t="n"/>
    </row>
    <row r="143">
      <c r="A143" s="10" t="inlineStr">
        <is>
          <t>Real Estate</t>
        </is>
      </c>
      <c r="B143" s="9" t="inlineStr">
        <is>
          <t>Water Management</t>
        </is>
      </c>
      <c r="C143" s="9" t="inlineStr">
        <is>
          <t>Water &amp; Wastewater Management</t>
        </is>
      </c>
      <c r="D143" s="11" t="inlineStr">
        <is>
          <t>High</t>
        </is>
      </c>
      <c r="E143" s="11">
        <f>COUNTIF('Company industries'!$H$2:$H$66,A143)</f>
        <v/>
      </c>
      <c r="F143" s="12" t="inlineStr">
        <is>
          <t>Yes</t>
        </is>
      </c>
      <c r="G143" s="12" t="n"/>
    </row>
    <row r="144">
      <c r="A144" s="10" t="inlineStr">
        <is>
          <t>Real Estate</t>
        </is>
      </c>
      <c r="B144" s="9" t="inlineStr">
        <is>
          <t>Management of Tenant Sustainability Impacts</t>
        </is>
      </c>
      <c r="C144" s="9" t="inlineStr">
        <is>
          <t>Product Design &amp; Lifecycle Management</t>
        </is>
      </c>
      <c r="D144" s="11" t="inlineStr">
        <is>
          <t>Medium</t>
        </is>
      </c>
      <c r="E144" s="11">
        <f>COUNTIF('Company industries'!$H$2:$H$66,A144)</f>
        <v/>
      </c>
      <c r="F144" s="12" t="inlineStr">
        <is>
          <t>Yes</t>
        </is>
      </c>
      <c r="G144" s="12" t="n"/>
    </row>
    <row r="145">
      <c r="A145" s="10" t="inlineStr">
        <is>
          <t>Real Estate</t>
        </is>
      </c>
      <c r="B145" s="9" t="inlineStr">
        <is>
          <t>Climate Change Adaptation</t>
        </is>
      </c>
      <c r="C145" s="9" t="inlineStr">
        <is>
          <t>Physical Impacts of Climate Change</t>
        </is>
      </c>
      <c r="D145" s="11" t="inlineStr">
        <is>
          <t>High</t>
        </is>
      </c>
      <c r="E145" s="11">
        <f>COUNTIF('Company industries'!$H$2:$H$66,A145)</f>
        <v/>
      </c>
      <c r="F145" s="12" t="inlineStr">
        <is>
          <t>Yes</t>
        </is>
      </c>
      <c r="G145" s="12" t="n"/>
    </row>
    <row r="146" ht="25.5" customHeight="1">
      <c r="A146" s="10" t="inlineStr">
        <is>
          <t>Electric Utilities &amp; Power Generators</t>
        </is>
      </c>
      <c r="B146" s="9" t="inlineStr">
        <is>
          <t>GHG Emissions &amp; Energy Resource Planning</t>
        </is>
      </c>
      <c r="C146" s="9" t="inlineStr">
        <is>
          <t>GHG Emissions</t>
        </is>
      </c>
      <c r="D146" s="11" t="inlineStr">
        <is>
          <t>High</t>
        </is>
      </c>
      <c r="E146" s="11">
        <f>COUNTIF('Company industries'!$H$2:$H$66,A146)</f>
        <v/>
      </c>
      <c r="F146" s="12" t="inlineStr">
        <is>
          <t>Yes</t>
        </is>
      </c>
      <c r="G146" s="12" t="n"/>
    </row>
    <row r="147" ht="25.5" customHeight="1">
      <c r="A147" s="10" t="inlineStr">
        <is>
          <t>Electric Utilities &amp; Power Generators</t>
        </is>
      </c>
      <c r="B147" s="9" t="inlineStr">
        <is>
          <t>Air Quality</t>
        </is>
      </c>
      <c r="C147" s="9" t="inlineStr">
        <is>
          <t>Air Quality</t>
        </is>
      </c>
      <c r="D147" s="11" t="inlineStr">
        <is>
          <t>High</t>
        </is>
      </c>
      <c r="E147" s="11">
        <f>COUNTIF('Company industries'!$H$2:$H$66,A147)</f>
        <v/>
      </c>
      <c r="F147" s="12" t="inlineStr">
        <is>
          <t>Yes</t>
        </is>
      </c>
      <c r="G147" s="12" t="n"/>
    </row>
    <row r="148" ht="25.5" customHeight="1">
      <c r="A148" s="10" t="inlineStr">
        <is>
          <t>Electric Utilities &amp; Power Generators</t>
        </is>
      </c>
      <c r="B148" s="9" t="inlineStr">
        <is>
          <t>Water Management</t>
        </is>
      </c>
      <c r="C148" s="9" t="inlineStr">
        <is>
          <t>Water &amp; Wastewater Management</t>
        </is>
      </c>
      <c r="D148" s="11" t="inlineStr">
        <is>
          <t>High</t>
        </is>
      </c>
      <c r="E148" s="11">
        <f>COUNTIF('Company industries'!$H$2:$H$66,A148)</f>
        <v/>
      </c>
      <c r="F148" s="12" t="inlineStr">
        <is>
          <t>Yes</t>
        </is>
      </c>
      <c r="G148" s="12" t="n"/>
    </row>
    <row r="149" ht="25.5" customHeight="1">
      <c r="A149" s="10" t="inlineStr">
        <is>
          <t>Electric Utilities &amp; Power Generators</t>
        </is>
      </c>
      <c r="B149" s="9" t="inlineStr">
        <is>
          <t>Coal Ash Management</t>
        </is>
      </c>
      <c r="C149" s="9" t="inlineStr">
        <is>
          <t>Waste &amp; Hazardous Materials Management</t>
        </is>
      </c>
      <c r="D149" s="11" t="inlineStr">
        <is>
          <t>High</t>
        </is>
      </c>
      <c r="E149" s="11">
        <f>COUNTIF('Company industries'!$H$2:$H$66,A149)</f>
        <v/>
      </c>
      <c r="F149" s="12" t="inlineStr">
        <is>
          <t>Yes</t>
        </is>
      </c>
      <c r="G149" s="12" t="n"/>
    </row>
    <row r="150" ht="25.5" customHeight="1">
      <c r="A150" s="10" t="inlineStr">
        <is>
          <t>Electric Utilities &amp; Power Generators</t>
        </is>
      </c>
      <c r="B150" s="9" t="inlineStr">
        <is>
          <t>Energy Affordability</t>
        </is>
      </c>
      <c r="C150" s="9" t="inlineStr">
        <is>
          <t>Access &amp; Affordability</t>
        </is>
      </c>
      <c r="D150" s="11" t="inlineStr">
        <is>
          <t>High</t>
        </is>
      </c>
      <c r="E150" s="11">
        <f>COUNTIF('Company industries'!$H$2:$H$66,A150)</f>
        <v/>
      </c>
      <c r="F150" s="12" t="inlineStr">
        <is>
          <t>Yes</t>
        </is>
      </c>
      <c r="G150" s="12" t="n"/>
    </row>
    <row r="151" ht="25.5" customHeight="1">
      <c r="A151" s="10" t="inlineStr">
        <is>
          <t>Electric Utilities &amp; Power Generators</t>
        </is>
      </c>
      <c r="B151" s="9" t="inlineStr">
        <is>
          <t>Workforce Health &amp; Safety</t>
        </is>
      </c>
      <c r="C151" s="9" t="inlineStr">
        <is>
          <t>Employee Health &amp; Safety</t>
        </is>
      </c>
      <c r="D151" s="11" t="inlineStr">
        <is>
          <t>High</t>
        </is>
      </c>
      <c r="E151" s="11">
        <f>COUNTIF('Company industries'!$H$2:$H$66,A151)</f>
        <v/>
      </c>
      <c r="F151" s="12" t="inlineStr">
        <is>
          <t>Yes</t>
        </is>
      </c>
      <c r="G151" s="12" t="n"/>
    </row>
    <row r="152" ht="25.5" customHeight="1">
      <c r="A152" s="10" t="inlineStr">
        <is>
          <t>Electric Utilities &amp; Power Generators</t>
        </is>
      </c>
      <c r="B152" s="9" t="inlineStr">
        <is>
          <t>End-Use Efficiency &amp; Demand</t>
        </is>
      </c>
      <c r="C152" s="9" t="inlineStr">
        <is>
          <t>Business Model Resilience</t>
        </is>
      </c>
      <c r="D152" s="11" t="inlineStr">
        <is>
          <t>Medium</t>
        </is>
      </c>
      <c r="E152" s="11">
        <f>COUNTIF('Company industries'!$H$2:$H$66,A152)</f>
        <v/>
      </c>
      <c r="F152" s="12" t="inlineStr">
        <is>
          <t>Yes</t>
        </is>
      </c>
      <c r="G152" s="12" t="n"/>
    </row>
    <row r="153" ht="25.5" customHeight="1">
      <c r="A153" s="10" t="inlineStr">
        <is>
          <t>Electric Utilities &amp; Power Generators</t>
        </is>
      </c>
      <c r="B153" s="9" t="inlineStr">
        <is>
          <t>Nuclear Safety &amp; Emergency Management</t>
        </is>
      </c>
      <c r="C153" s="9" t="inlineStr">
        <is>
          <t>Critical Incident Risk Management</t>
        </is>
      </c>
      <c r="D153" s="11" t="inlineStr">
        <is>
          <t>High</t>
        </is>
      </c>
      <c r="E153" s="11">
        <f>COUNTIF('Company industries'!$H$2:$H$66,A153)</f>
        <v/>
      </c>
      <c r="F153" s="12" t="inlineStr">
        <is>
          <t>Yes</t>
        </is>
      </c>
      <c r="G153" s="12" t="n"/>
    </row>
    <row r="154" ht="25.5" customHeight="1">
      <c r="A154" s="10" t="inlineStr">
        <is>
          <t>Electric Utilities &amp; Power Generators</t>
        </is>
      </c>
      <c r="B154" s="9" t="inlineStr">
        <is>
          <t>Grid Resiliency</t>
        </is>
      </c>
      <c r="C154" s="9" t="inlineStr">
        <is>
          <t>Critical Incident Risk Management</t>
        </is>
      </c>
      <c r="D154" s="11" t="inlineStr">
        <is>
          <t>Medium</t>
        </is>
      </c>
      <c r="E154" s="11">
        <f>COUNTIF('Company industries'!$H$2:$H$66,A154)</f>
        <v/>
      </c>
      <c r="F154" s="12" t="inlineStr">
        <is>
          <t>Yes</t>
        </is>
      </c>
      <c r="G154" s="12" t="n"/>
    </row>
    <row r="155">
      <c r="A155" s="10" t="inlineStr">
        <is>
          <t>Airlines</t>
        </is>
      </c>
      <c r="B155" s="9" t="inlineStr">
        <is>
          <t>GHG Emissions</t>
        </is>
      </c>
      <c r="C155" s="9" t="inlineStr">
        <is>
          <t>GHG Emissions</t>
        </is>
      </c>
      <c r="D155" s="11" t="inlineStr">
        <is>
          <t>High</t>
        </is>
      </c>
      <c r="E155" s="11">
        <f>COUNTIF('Company industries'!$H$2:$H$66,A155)</f>
        <v/>
      </c>
      <c r="F155" s="12" t="inlineStr">
        <is>
          <t>Yes</t>
        </is>
      </c>
      <c r="G155" s="12" t="n"/>
    </row>
    <row r="156">
      <c r="A156" s="10" t="inlineStr">
        <is>
          <t>Airlines</t>
        </is>
      </c>
      <c r="B156" s="9" t="inlineStr">
        <is>
          <t>Labour Practices</t>
        </is>
      </c>
      <c r="C156" s="9" t="inlineStr">
        <is>
          <t>Labor Practices</t>
        </is>
      </c>
      <c r="D156" s="11" t="inlineStr">
        <is>
          <t>High</t>
        </is>
      </c>
      <c r="E156" s="11">
        <f>COUNTIF('Company industries'!$H$2:$H$66,A156)</f>
        <v/>
      </c>
      <c r="F156" s="12" t="inlineStr">
        <is>
          <t>Yes</t>
        </is>
      </c>
      <c r="G156" s="12" t="n"/>
    </row>
    <row r="157">
      <c r="A157" s="10" t="inlineStr">
        <is>
          <t>Airlines</t>
        </is>
      </c>
      <c r="B157" s="9" t="inlineStr">
        <is>
          <t>Competitive Behaviour</t>
        </is>
      </c>
      <c r="C157" s="9" t="inlineStr">
        <is>
          <t>Competitive Behavior</t>
        </is>
      </c>
      <c r="D157" s="11" t="inlineStr">
        <is>
          <t>High</t>
        </is>
      </c>
      <c r="E157" s="11">
        <f>COUNTIF('Company industries'!$H$2:$H$66,A157)</f>
        <v/>
      </c>
      <c r="F157" s="12" t="inlineStr">
        <is>
          <t>Yes</t>
        </is>
      </c>
      <c r="G157" s="12" t="n"/>
    </row>
    <row r="158">
      <c r="A158" s="10" t="inlineStr">
        <is>
          <t>Airlines</t>
        </is>
      </c>
      <c r="B158" s="9" t="inlineStr">
        <is>
          <t>Accident &amp; Safety Management</t>
        </is>
      </c>
      <c r="C158" s="9" t="inlineStr">
        <is>
          <t>Critical Incident Risk Management</t>
        </is>
      </c>
      <c r="D158" s="11" t="inlineStr">
        <is>
          <t>High</t>
        </is>
      </c>
      <c r="E158" s="11">
        <f>COUNTIF('Company industries'!$H$2:$H$66,A158)</f>
        <v/>
      </c>
      <c r="F158" s="12" t="inlineStr">
        <is>
          <t>Yes</t>
        </is>
      </c>
      <c r="G158" s="12" t="n"/>
    </row>
    <row r="159">
      <c r="A159" s="10" t="inlineStr">
        <is>
          <t>Marine Transportation</t>
        </is>
      </c>
      <c r="B159" s="9" t="inlineStr">
        <is>
          <t>GHG Emissions</t>
        </is>
      </c>
      <c r="C159" s="9" t="inlineStr">
        <is>
          <t>GHG Emissions</t>
        </is>
      </c>
      <c r="D159" s="11" t="inlineStr">
        <is>
          <t>High</t>
        </is>
      </c>
      <c r="E159" s="11">
        <f>COUNTIF('Company industries'!$H$2:$H$66,A159)</f>
        <v/>
      </c>
      <c r="F159" s="12" t="inlineStr">
        <is>
          <t>Yes</t>
        </is>
      </c>
      <c r="G159" s="12" t="n"/>
    </row>
    <row r="160">
      <c r="A160" s="10" t="inlineStr">
        <is>
          <t>Marine Transportation</t>
        </is>
      </c>
      <c r="B160" s="9" t="inlineStr">
        <is>
          <t>Air Quality</t>
        </is>
      </c>
      <c r="C160" s="9" t="inlineStr">
        <is>
          <t>Air Quality</t>
        </is>
      </c>
      <c r="D160" s="11" t="inlineStr">
        <is>
          <t>High</t>
        </is>
      </c>
      <c r="E160" s="11">
        <f>COUNTIF('Company industries'!$H$2:$H$66,A160)</f>
        <v/>
      </c>
      <c r="F160" s="12" t="inlineStr">
        <is>
          <t>Yes</t>
        </is>
      </c>
      <c r="G160" s="12" t="n"/>
    </row>
    <row r="161">
      <c r="A161" s="10" t="inlineStr">
        <is>
          <t>Marine Transportation</t>
        </is>
      </c>
      <c r="B161" s="9" t="inlineStr">
        <is>
          <t>Ecological Impacts</t>
        </is>
      </c>
      <c r="C161" s="9" t="inlineStr">
        <is>
          <t>Ecological Impacts</t>
        </is>
      </c>
      <c r="D161" s="11" t="inlineStr">
        <is>
          <t>High</t>
        </is>
      </c>
      <c r="E161" s="11">
        <f>COUNTIF('Company industries'!$H$2:$H$66,A161)</f>
        <v/>
      </c>
      <c r="F161" s="12" t="inlineStr">
        <is>
          <t>Yes</t>
        </is>
      </c>
      <c r="G161" s="12" t="n"/>
    </row>
    <row r="162">
      <c r="A162" s="10" t="inlineStr">
        <is>
          <t>Marine Transportation</t>
        </is>
      </c>
      <c r="B162" s="9" t="inlineStr">
        <is>
          <t>Employee Health &amp; Safety</t>
        </is>
      </c>
      <c r="C162" s="9" t="inlineStr">
        <is>
          <t>Employee Health &amp; Safety</t>
        </is>
      </c>
      <c r="D162" s="11" t="inlineStr">
        <is>
          <t>High</t>
        </is>
      </c>
      <c r="E162" s="11">
        <f>COUNTIF('Company industries'!$H$2:$H$66,A162)</f>
        <v/>
      </c>
      <c r="F162" s="12" t="inlineStr">
        <is>
          <t>Yes</t>
        </is>
      </c>
      <c r="G162" s="12" t="n"/>
    </row>
    <row r="163">
      <c r="A163" s="10" t="inlineStr">
        <is>
          <t>Marine Transportation</t>
        </is>
      </c>
      <c r="B163" s="9" t="inlineStr">
        <is>
          <t>Business Ethics</t>
        </is>
      </c>
      <c r="C163" s="9" t="inlineStr">
        <is>
          <t>Business Ethics</t>
        </is>
      </c>
      <c r="D163" s="11" t="inlineStr">
        <is>
          <t>High</t>
        </is>
      </c>
      <c r="E163" s="11">
        <f>COUNTIF('Company industries'!$H$2:$H$66,A163)</f>
        <v/>
      </c>
      <c r="F163" s="12" t="inlineStr">
        <is>
          <t>Yes</t>
        </is>
      </c>
      <c r="G163" s="12" t="n"/>
    </row>
    <row r="164">
      <c r="A164" s="10" t="inlineStr">
        <is>
          <t>Marine Transportation</t>
        </is>
      </c>
      <c r="B164" s="9" t="inlineStr">
        <is>
          <t>Accident &amp; Safety Management</t>
        </is>
      </c>
      <c r="C164" s="9" t="inlineStr">
        <is>
          <t>Critical Incident Risk Management</t>
        </is>
      </c>
      <c r="D164" s="11" t="inlineStr">
        <is>
          <t>High</t>
        </is>
      </c>
      <c r="E164" s="11">
        <f>COUNTIF('Company industries'!$H$2:$H$66,A164)</f>
        <v/>
      </c>
      <c r="F164" s="12" t="inlineStr">
        <is>
          <t>Yes</t>
        </is>
      </c>
      <c r="G164" s="12" t="n"/>
    </row>
    <row r="165">
      <c r="A165" s="10" t="inlineStr">
        <is>
          <t>Hotels &amp; Lodging</t>
        </is>
      </c>
      <c r="B165" s="9" t="inlineStr">
        <is>
          <t>Energy Management</t>
        </is>
      </c>
      <c r="C165" s="9" t="inlineStr">
        <is>
          <t>Energy Management</t>
        </is>
      </c>
      <c r="D165" s="11" t="inlineStr">
        <is>
          <t>High</t>
        </is>
      </c>
      <c r="E165" s="11">
        <f>COUNTIF('Company industries'!$H$2:$H$66,A165)</f>
        <v/>
      </c>
      <c r="F165" s="12" t="inlineStr">
        <is>
          <t>Yes</t>
        </is>
      </c>
      <c r="G165" s="12" t="n"/>
    </row>
    <row r="166">
      <c r="A166" s="10" t="inlineStr">
        <is>
          <t>Hotels &amp; Lodging</t>
        </is>
      </c>
      <c r="B166" s="9" t="inlineStr">
        <is>
          <t>Water Management</t>
        </is>
      </c>
      <c r="C166" s="9" t="inlineStr">
        <is>
          <t>Water &amp; Wastewater Management</t>
        </is>
      </c>
      <c r="D166" s="11" t="inlineStr">
        <is>
          <t>High</t>
        </is>
      </c>
      <c r="E166" s="11">
        <f>COUNTIF('Company industries'!$H$2:$H$66,A166)</f>
        <v/>
      </c>
      <c r="F166" s="12" t="inlineStr">
        <is>
          <t>Yes</t>
        </is>
      </c>
      <c r="G166" s="12" t="n"/>
    </row>
    <row r="167">
      <c r="A167" s="10" t="inlineStr">
        <is>
          <t>Hotels &amp; Lodging</t>
        </is>
      </c>
      <c r="B167" s="9" t="inlineStr">
        <is>
          <t>Ecological Impacts</t>
        </is>
      </c>
      <c r="C167" s="9" t="inlineStr">
        <is>
          <t>Ecological Impacts</t>
        </is>
      </c>
      <c r="D167" s="11" t="inlineStr">
        <is>
          <t>High</t>
        </is>
      </c>
      <c r="E167" s="11">
        <f>COUNTIF('Company industries'!$H$2:$H$66,A167)</f>
        <v/>
      </c>
      <c r="F167" s="12" t="inlineStr">
        <is>
          <t>Yes</t>
        </is>
      </c>
      <c r="G167" s="12" t="n"/>
    </row>
    <row r="168">
      <c r="A168" s="10" t="inlineStr">
        <is>
          <t>Hotels &amp; Lodging</t>
        </is>
      </c>
      <c r="B168" s="9" t="inlineStr">
        <is>
          <t>Labour Practices</t>
        </is>
      </c>
      <c r="C168" s="9" t="inlineStr">
        <is>
          <t>Labor Practices</t>
        </is>
      </c>
      <c r="D168" s="11" t="inlineStr">
        <is>
          <t>High</t>
        </is>
      </c>
      <c r="E168" s="11">
        <f>COUNTIF('Company industries'!$H$2:$H$66,A168)</f>
        <v/>
      </c>
      <c r="F168" s="12" t="inlineStr">
        <is>
          <t>Yes</t>
        </is>
      </c>
      <c r="G168" s="12" t="n"/>
    </row>
    <row r="169">
      <c r="A169" s="10" t="inlineStr">
        <is>
          <t>Hotels &amp; Lodging</t>
        </is>
      </c>
      <c r="B169" s="9" t="inlineStr">
        <is>
          <t>Climate Change Adaptation</t>
        </is>
      </c>
      <c r="C169" s="9" t="inlineStr">
        <is>
          <t>Physical Impacts of Climate Change</t>
        </is>
      </c>
      <c r="D169" s="11" t="inlineStr">
        <is>
          <t>High</t>
        </is>
      </c>
      <c r="E169" s="11">
        <f>COUNTIF('Company industries'!$H$2:$H$66,A169)</f>
        <v/>
      </c>
      <c r="F169" s="12" t="inlineStr">
        <is>
          <t>Yes</t>
        </is>
      </c>
      <c r="G169" s="12" t="n"/>
    </row>
  </sheetData>
  <autoFilter ref="A1:G169"/>
  <dataValidations count="1">
    <dataValidation sqref="F2:F169"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0"/>
  <sheetViews>
    <sheetView zoomScaleNormal="100" workbookViewId="0">
      <pane xSplit="2" ySplit="1" topLeftCell="C2" activePane="bottomRight" state="frozen"/>
      <selection pane="topRight" activeCell="C1" sqref="C1"/>
      <selection pane="bottomLeft" activeCell="A2" sqref="A2"/>
      <selection pane="bottomRight" activeCell="F21" sqref="F21"/>
    </sheetView>
  </sheetViews>
  <sheetFormatPr baseColWidth="8" defaultColWidth="8.7109375" defaultRowHeight="15"/>
  <cols>
    <col width="26" customWidth="1" min="1" max="1"/>
    <col width="44" customWidth="1" min="2" max="2"/>
    <col width="64" customWidth="1" min="3" max="3"/>
    <col width="16" customWidth="1" min="4" max="4"/>
    <col width="18" customWidth="1" min="5" max="5"/>
    <col width="44" customWidth="1" min="6" max="6"/>
  </cols>
  <sheetData>
    <row r="1" ht="31.5" customHeight="1">
      <c r="A1" s="7" t="inlineStr">
        <is>
          <t>Dimension</t>
        </is>
      </c>
      <c r="B1" s="7" t="inlineStr">
        <is>
          <t>SASB General Issue Category</t>
        </is>
      </c>
      <c r="C1" s="7" t="inlineStr">
        <is>
          <t>In plain terms</t>
        </is>
      </c>
      <c r="D1" s="7" t="inlineStr">
        <is>
          <t>Verity terms mapped (primary or secondary)</t>
        </is>
      </c>
      <c r="E1" s="7" t="inlineStr">
        <is>
          <t>Industries in our sample where material</t>
        </is>
      </c>
      <c r="F1" s="7" t="inlineStr">
        <is>
          <t>Drop-down list</t>
        </is>
      </c>
    </row>
    <row r="2">
      <c r="A2" s="9" t="inlineStr">
        <is>
          <t>Environment</t>
        </is>
      </c>
      <c r="B2" s="10" t="inlineStr">
        <is>
          <t>GHG Emissions</t>
        </is>
      </c>
      <c r="C2" s="9" t="inlineStr">
        <is>
          <t>Greenhouse gas emissions from the company's own operations</t>
        </is>
      </c>
      <c r="D2" s="11">
        <f>COUNTIF('Term mapping'!$E$2:$E$68,B2)+COUNTIF('Term mapping'!$F$2:$F$68,B2)</f>
        <v/>
      </c>
      <c r="E2" s="11">
        <f>SUMPRODUCT(('Industry materiality'!$C$2:$C$169=B2)/COUNTIFS('Industry materiality'!$A$2:$A$169,'Industry materiality'!$A$2:$A$169,'Industry materiality'!$C$2:$C$169,'Industry materiality'!$C$2:$C$169))</f>
        <v/>
      </c>
      <c r="F2" s="21">
        <f>B2</f>
        <v/>
      </c>
    </row>
    <row r="3">
      <c r="A3" s="9" t="inlineStr">
        <is>
          <t>Environment</t>
        </is>
      </c>
      <c r="B3" s="10" t="inlineStr">
        <is>
          <t>Air Quality</t>
        </is>
      </c>
      <c r="C3" s="9" t="inlineStr">
        <is>
          <t>Air pollutants other than greenhouse gases, such as dust, NOx and SOx</t>
        </is>
      </c>
      <c r="D3" s="11">
        <f>COUNTIF('Term mapping'!$E$2:$E$68,B3)+COUNTIF('Term mapping'!$F$2:$F$68,B3)</f>
        <v/>
      </c>
      <c r="E3" s="11">
        <f>SUMPRODUCT(('Industry materiality'!$C$2:$C$169=B3)/COUNTIFS('Industry materiality'!$A$2:$A$169,'Industry materiality'!$A$2:$A$169,'Industry materiality'!$C$2:$C$169,'Industry materiality'!$C$2:$C$169))</f>
        <v/>
      </c>
      <c r="F3" s="21">
        <f>B3</f>
        <v/>
      </c>
    </row>
    <row r="4" ht="25.5" customHeight="1">
      <c r="A4" s="9" t="inlineStr">
        <is>
          <t>Environment</t>
        </is>
      </c>
      <c r="B4" s="10" t="inlineStr">
        <is>
          <t>Energy Management</t>
        </is>
      </c>
      <c r="C4" s="9" t="inlineStr">
        <is>
          <t>How much energy the company uses, how efficiently, and from which sources</t>
        </is>
      </c>
      <c r="D4" s="11">
        <f>COUNTIF('Term mapping'!$E$2:$E$68,B4)+COUNTIF('Term mapping'!$F$2:$F$68,B4)</f>
        <v/>
      </c>
      <c r="E4" s="11">
        <f>SUMPRODUCT(('Industry materiality'!$C$2:$C$169=B4)/COUNTIFS('Industry materiality'!$A$2:$A$169,'Industry materiality'!$A$2:$A$169,'Industry materiality'!$C$2:$C$169,'Industry materiality'!$C$2:$C$169))</f>
        <v/>
      </c>
      <c r="F4" s="21">
        <f>B4</f>
        <v/>
      </c>
    </row>
    <row r="5">
      <c r="A5" s="9" t="inlineStr">
        <is>
          <t>Environment</t>
        </is>
      </c>
      <c r="B5" s="10" t="inlineStr">
        <is>
          <t>Water &amp; Wastewater Management</t>
        </is>
      </c>
      <c r="C5" s="9" t="inlineStr">
        <is>
          <t>Water use, discharge and exposure to water scarcity</t>
        </is>
      </c>
      <c r="D5" s="11">
        <f>COUNTIF('Term mapping'!$E$2:$E$68,B5)+COUNTIF('Term mapping'!$F$2:$F$68,B5)</f>
        <v/>
      </c>
      <c r="E5" s="11">
        <f>SUMPRODUCT(('Industry materiality'!$C$2:$C$169=B5)/COUNTIFS('Industry materiality'!$A$2:$A$169,'Industry materiality'!$A$2:$A$169,'Industry materiality'!$C$2:$C$169,'Industry materiality'!$C$2:$C$169))</f>
        <v/>
      </c>
      <c r="F5" s="21">
        <f>B5</f>
        <v/>
      </c>
    </row>
    <row r="6">
      <c r="A6" s="9" t="inlineStr">
        <is>
          <t>Environment</t>
        </is>
      </c>
      <c r="B6" s="10" t="inlineStr">
        <is>
          <t>Waste &amp; Hazardous Materials Management</t>
        </is>
      </c>
      <c r="C6" s="9" t="inlineStr">
        <is>
          <t>Waste generated and handling of hazardous materials</t>
        </is>
      </c>
      <c r="D6" s="11">
        <f>COUNTIF('Term mapping'!$E$2:$E$68,B6)+COUNTIF('Term mapping'!$F$2:$F$68,B6)</f>
        <v/>
      </c>
      <c r="E6" s="11">
        <f>SUMPRODUCT(('Industry materiality'!$C$2:$C$169=B6)/COUNTIFS('Industry materiality'!$A$2:$A$169,'Industry materiality'!$A$2:$A$169,'Industry materiality'!$C$2:$C$169,'Industry materiality'!$C$2:$C$169))</f>
        <v/>
      </c>
      <c r="F6" s="21">
        <f>B6</f>
        <v/>
      </c>
    </row>
    <row r="7">
      <c r="A7" s="9" t="inlineStr">
        <is>
          <t>Environment</t>
        </is>
      </c>
      <c r="B7" s="10" t="inlineStr">
        <is>
          <t>Ecological Impacts</t>
        </is>
      </c>
      <c r="C7" s="9" t="inlineStr">
        <is>
          <t>Effects on land, ecosystems and biodiversity</t>
        </is>
      </c>
      <c r="D7" s="11">
        <f>COUNTIF('Term mapping'!$E$2:$E$68,B7)+COUNTIF('Term mapping'!$F$2:$F$68,B7)</f>
        <v/>
      </c>
      <c r="E7" s="11">
        <f>SUMPRODUCT(('Industry materiality'!$C$2:$C$169=B7)/COUNTIFS('Industry materiality'!$A$2:$A$169,'Industry materiality'!$A$2:$A$169,'Industry materiality'!$C$2:$C$169,'Industry materiality'!$C$2:$C$169))</f>
        <v/>
      </c>
      <c r="F7" s="21">
        <f>B7</f>
        <v/>
      </c>
    </row>
    <row r="8">
      <c r="A8" s="9" t="inlineStr">
        <is>
          <t>Social Capital</t>
        </is>
      </c>
      <c r="B8" s="10" t="inlineStr">
        <is>
          <t>Human Rights &amp; Community Relations</t>
        </is>
      </c>
      <c r="C8" s="9" t="inlineStr">
        <is>
          <t>Relations with local communities and respect for human rights</t>
        </is>
      </c>
      <c r="D8" s="11">
        <f>COUNTIF('Term mapping'!$E$2:$E$68,B8)+COUNTIF('Term mapping'!$F$2:$F$68,B8)</f>
        <v/>
      </c>
      <c r="E8" s="11">
        <f>SUMPRODUCT(('Industry materiality'!$C$2:$C$169=B8)/COUNTIFS('Industry materiality'!$A$2:$A$169,'Industry materiality'!$A$2:$A$169,'Industry materiality'!$C$2:$C$169,'Industry materiality'!$C$2:$C$169))</f>
        <v/>
      </c>
      <c r="F8" s="21">
        <f>B8</f>
        <v/>
      </c>
    </row>
    <row r="9">
      <c r="A9" s="9" t="inlineStr">
        <is>
          <t>Social Capital</t>
        </is>
      </c>
      <c r="B9" s="10" t="inlineStr">
        <is>
          <t>Customer Privacy</t>
        </is>
      </c>
      <c r="C9" s="9" t="inlineStr">
        <is>
          <t>How customers' personal data is used</t>
        </is>
      </c>
      <c r="D9" s="11">
        <f>COUNTIF('Term mapping'!$E$2:$E$68,B9)+COUNTIF('Term mapping'!$F$2:$F$68,B9)</f>
        <v/>
      </c>
      <c r="E9" s="11">
        <f>SUMPRODUCT(('Industry materiality'!$C$2:$C$169=B9)/COUNTIFS('Industry materiality'!$A$2:$A$169,'Industry materiality'!$A$2:$A$169,'Industry materiality'!$C$2:$C$169,'Industry materiality'!$C$2:$C$169))</f>
        <v/>
      </c>
      <c r="F9" s="21">
        <f>B9</f>
        <v/>
      </c>
    </row>
    <row r="10">
      <c r="A10" s="9" t="inlineStr">
        <is>
          <t>Social Capital</t>
        </is>
      </c>
      <c r="B10" s="10" t="inlineStr">
        <is>
          <t>Data Security</t>
        </is>
      </c>
      <c r="C10" s="9" t="inlineStr">
        <is>
          <t>Protecting data and systems from breaches</t>
        </is>
      </c>
      <c r="D10" s="11">
        <f>COUNTIF('Term mapping'!$E$2:$E$68,B10)+COUNTIF('Term mapping'!$F$2:$F$68,B10)</f>
        <v/>
      </c>
      <c r="E10" s="11">
        <f>SUMPRODUCT(('Industry materiality'!$C$2:$C$169=B10)/COUNTIFS('Industry materiality'!$A$2:$A$169,'Industry materiality'!$A$2:$A$169,'Industry materiality'!$C$2:$C$169,'Industry materiality'!$C$2:$C$169))</f>
        <v/>
      </c>
      <c r="F10" s="21">
        <f>B10</f>
        <v/>
      </c>
    </row>
    <row r="11">
      <c r="A11" s="9" t="inlineStr">
        <is>
          <t>Social Capital</t>
        </is>
      </c>
      <c r="B11" s="10" t="inlineStr">
        <is>
          <t>Access &amp; Affordability</t>
        </is>
      </c>
      <c r="C11" s="9" t="inlineStr">
        <is>
          <t>Fair access to the company's products and services</t>
        </is>
      </c>
      <c r="D11" s="11">
        <f>COUNTIF('Term mapping'!$E$2:$E$68,B11)+COUNTIF('Term mapping'!$F$2:$F$68,B11)</f>
        <v/>
      </c>
      <c r="E11" s="11">
        <f>SUMPRODUCT(('Industry materiality'!$C$2:$C$169=B11)/COUNTIFS('Industry materiality'!$A$2:$A$169,'Industry materiality'!$A$2:$A$169,'Industry materiality'!$C$2:$C$169,'Industry materiality'!$C$2:$C$169))</f>
        <v/>
      </c>
      <c r="F11" s="21">
        <f>B11</f>
        <v/>
      </c>
    </row>
    <row r="12">
      <c r="A12" s="9" t="inlineStr">
        <is>
          <t>Social Capital</t>
        </is>
      </c>
      <c r="B12" s="10" t="inlineStr">
        <is>
          <t>Product Quality &amp; Safety</t>
        </is>
      </c>
      <c r="C12" s="9" t="inlineStr">
        <is>
          <t>Safety and quality of products; recalls</t>
        </is>
      </c>
      <c r="D12" s="11">
        <f>COUNTIF('Term mapping'!$E$2:$E$68,B12)+COUNTIF('Term mapping'!$F$2:$F$68,B12)</f>
        <v/>
      </c>
      <c r="E12" s="11">
        <f>SUMPRODUCT(('Industry materiality'!$C$2:$C$169=B12)/COUNTIFS('Industry materiality'!$A$2:$A$169,'Industry materiality'!$A$2:$A$169,'Industry materiality'!$C$2:$C$169,'Industry materiality'!$C$2:$C$169))</f>
        <v/>
      </c>
      <c r="F12" s="21">
        <f>B12</f>
        <v/>
      </c>
    </row>
    <row r="13">
      <c r="A13" s="9" t="inlineStr">
        <is>
          <t>Social Capital</t>
        </is>
      </c>
      <c r="B13" s="10" t="inlineStr">
        <is>
          <t>Customer Welfare</t>
        </is>
      </c>
      <c r="C13" s="9" t="inlineStr">
        <is>
          <t>Effects of products on customers' health and wellbeing</t>
        </is>
      </c>
      <c r="D13" s="11">
        <f>COUNTIF('Term mapping'!$E$2:$E$68,B13)+COUNTIF('Term mapping'!$F$2:$F$68,B13)</f>
        <v/>
      </c>
      <c r="E13" s="11">
        <f>SUMPRODUCT(('Industry materiality'!$C$2:$C$169=B13)/COUNTIFS('Industry materiality'!$A$2:$A$169,'Industry materiality'!$A$2:$A$169,'Industry materiality'!$C$2:$C$169,'Industry materiality'!$C$2:$C$169))</f>
        <v/>
      </c>
      <c r="F13" s="21">
        <f>B13</f>
        <v/>
      </c>
    </row>
    <row r="14">
      <c r="A14" s="9" t="inlineStr">
        <is>
          <t>Social Capital</t>
        </is>
      </c>
      <c r="B14" s="10" t="inlineStr">
        <is>
          <t>Selling Practices &amp; Product Labeling</t>
        </is>
      </c>
      <c r="C14" s="9" t="inlineStr">
        <is>
          <t>Honest marketing, sales and product information</t>
        </is>
      </c>
      <c r="D14" s="11">
        <f>COUNTIF('Term mapping'!$E$2:$E$68,B14)+COUNTIF('Term mapping'!$F$2:$F$68,B14)</f>
        <v/>
      </c>
      <c r="E14" s="11">
        <f>SUMPRODUCT(('Industry materiality'!$C$2:$C$169=B14)/COUNTIFS('Industry materiality'!$A$2:$A$169,'Industry materiality'!$A$2:$A$169,'Industry materiality'!$C$2:$C$169,'Industry materiality'!$C$2:$C$169))</f>
        <v/>
      </c>
      <c r="F14" s="21">
        <f>B14</f>
        <v/>
      </c>
    </row>
    <row r="15">
      <c r="A15" s="9" t="inlineStr">
        <is>
          <t>Human Capital</t>
        </is>
      </c>
      <c r="B15" s="10" t="inlineStr">
        <is>
          <t>Labor Practices</t>
        </is>
      </c>
      <c r="C15" s="9" t="inlineStr">
        <is>
          <t>Wages, working conditions and labour rights</t>
        </is>
      </c>
      <c r="D15" s="11">
        <f>COUNTIF('Term mapping'!$E$2:$E$68,B15)+COUNTIF('Term mapping'!$F$2:$F$68,B15)</f>
        <v/>
      </c>
      <c r="E15" s="11">
        <f>SUMPRODUCT(('Industry materiality'!$C$2:$C$169=B15)/COUNTIFS('Industry materiality'!$A$2:$A$169,'Industry materiality'!$A$2:$A$169,'Industry materiality'!$C$2:$C$169,'Industry materiality'!$C$2:$C$169))</f>
        <v/>
      </c>
      <c r="F15" s="21">
        <f>B15</f>
        <v/>
      </c>
    </row>
    <row r="16">
      <c r="A16" s="9" t="inlineStr">
        <is>
          <t>Human Capital</t>
        </is>
      </c>
      <c r="B16" s="10" t="inlineStr">
        <is>
          <t>Employee Health &amp; Safety</t>
        </is>
      </c>
      <c r="C16" s="9" t="inlineStr">
        <is>
          <t>Workplace health and safety</t>
        </is>
      </c>
      <c r="D16" s="11">
        <f>COUNTIF('Term mapping'!$E$2:$E$68,B16)+COUNTIF('Term mapping'!$F$2:$F$68,B16)</f>
        <v/>
      </c>
      <c r="E16" s="11">
        <f>SUMPRODUCT(('Industry materiality'!$C$2:$C$169=B16)/COUNTIFS('Industry materiality'!$A$2:$A$169,'Industry materiality'!$A$2:$A$169,'Industry materiality'!$C$2:$C$169,'Industry materiality'!$C$2:$C$169))</f>
        <v/>
      </c>
      <c r="F16" s="21">
        <f>B16</f>
        <v/>
      </c>
    </row>
    <row r="17">
      <c r="A17" s="9" t="inlineStr">
        <is>
          <t>Human Capital</t>
        </is>
      </c>
      <c r="B17" s="10" t="inlineStr">
        <is>
          <t>Employee Engagement, Diversity &amp; Inclusion</t>
        </is>
      </c>
      <c r="C17" s="9" t="inlineStr">
        <is>
          <t>Workforce diversity, engagement and skills</t>
        </is>
      </c>
      <c r="D17" s="11">
        <f>COUNTIF('Term mapping'!$E$2:$E$68,B17)+COUNTIF('Term mapping'!$F$2:$F$68,B17)</f>
        <v/>
      </c>
      <c r="E17" s="11">
        <f>SUMPRODUCT(('Industry materiality'!$C$2:$C$169=B17)/COUNTIFS('Industry materiality'!$A$2:$A$169,'Industry materiality'!$A$2:$A$169,'Industry materiality'!$C$2:$C$169,'Industry materiality'!$C$2:$C$169))</f>
        <v/>
      </c>
      <c r="F17" s="21">
        <f>B17</f>
        <v/>
      </c>
    </row>
    <row r="18" ht="25.5" customHeight="1">
      <c r="A18" s="9" t="inlineStr">
        <is>
          <t>Business Model &amp; Innovation</t>
        </is>
      </c>
      <c r="B18" s="10" t="inlineStr">
        <is>
          <t>Product Design &amp; Lifecycle Management</t>
        </is>
      </c>
      <c r="C18" s="9" t="inlineStr">
        <is>
          <t>Sustainability built into products and services (for banks: ESG in lending decisions)</t>
        </is>
      </c>
      <c r="D18" s="11">
        <f>COUNTIF('Term mapping'!$E$2:$E$68,B18)+COUNTIF('Term mapping'!$F$2:$F$68,B18)</f>
        <v/>
      </c>
      <c r="E18" s="11">
        <f>SUMPRODUCT(('Industry materiality'!$C$2:$C$169=B18)/COUNTIFS('Industry materiality'!$A$2:$A$169,'Industry materiality'!$A$2:$A$169,'Industry materiality'!$C$2:$C$169,'Industry materiality'!$C$2:$C$169))</f>
        <v/>
      </c>
      <c r="F18" s="21">
        <f>B18</f>
        <v/>
      </c>
    </row>
    <row r="19" ht="25.5" customHeight="1">
      <c r="A19" s="9" t="inlineStr">
        <is>
          <t>Business Model &amp; Innovation</t>
        </is>
      </c>
      <c r="B19" s="10" t="inlineStr">
        <is>
          <t>Business Model Resilience</t>
        </is>
      </c>
      <c r="C19" s="9" t="inlineStr">
        <is>
          <t>Ability to adapt the business to long-term change, including the low-carbon transition</t>
        </is>
      </c>
      <c r="D19" s="11">
        <f>COUNTIF('Term mapping'!$E$2:$E$68,B19)+COUNTIF('Term mapping'!$F$2:$F$68,B19)</f>
        <v/>
      </c>
      <c r="E19" s="11">
        <f>SUMPRODUCT(('Industry materiality'!$C$2:$C$169=B19)/COUNTIFS('Industry materiality'!$A$2:$A$169,'Industry materiality'!$A$2:$A$169,'Industry materiality'!$C$2:$C$169,'Industry materiality'!$C$2:$C$169))</f>
        <v/>
      </c>
      <c r="F19" s="21">
        <f>B19</f>
        <v/>
      </c>
    </row>
    <row r="20">
      <c r="A20" s="9" t="inlineStr">
        <is>
          <t>Business Model &amp; Innovation</t>
        </is>
      </c>
      <c r="B20" s="10" t="inlineStr">
        <is>
          <t>Supply Chain Management</t>
        </is>
      </c>
      <c r="C20" s="9" t="inlineStr">
        <is>
          <t>ESG risks among suppliers</t>
        </is>
      </c>
      <c r="D20" s="11">
        <f>COUNTIF('Term mapping'!$E$2:$E$68,B20)+COUNTIF('Term mapping'!$F$2:$F$68,B20)</f>
        <v/>
      </c>
      <c r="E20" s="11">
        <f>SUMPRODUCT(('Industry materiality'!$C$2:$C$169=B20)/COUNTIFS('Industry materiality'!$A$2:$A$169,'Industry materiality'!$A$2:$A$169,'Industry materiality'!$C$2:$C$169,'Industry materiality'!$C$2:$C$169))</f>
        <v/>
      </c>
      <c r="F20" s="21">
        <f>B20</f>
        <v/>
      </c>
    </row>
    <row r="21">
      <c r="A21" s="9" t="inlineStr">
        <is>
          <t>Business Model &amp; Innovation</t>
        </is>
      </c>
      <c r="B21" s="10" t="inlineStr">
        <is>
          <t>Materials Sourcing &amp; Efficiency</t>
        </is>
      </c>
      <c r="C21" s="9" t="inlineStr">
        <is>
          <t>Sourcing and efficient use of raw materials</t>
        </is>
      </c>
      <c r="D21" s="11">
        <f>COUNTIF('Term mapping'!$E$2:$E$68,B21)+COUNTIF('Term mapping'!$F$2:$F$68,B21)</f>
        <v/>
      </c>
      <c r="E21" s="11">
        <f>SUMPRODUCT(('Industry materiality'!$C$2:$C$169=B21)/COUNTIFS('Industry materiality'!$A$2:$A$169,'Industry materiality'!$A$2:$A$169,'Industry materiality'!$C$2:$C$169,'Industry materiality'!$C$2:$C$169))</f>
        <v/>
      </c>
      <c r="F21" s="21">
        <f>B21</f>
        <v/>
      </c>
    </row>
    <row r="22">
      <c r="A22" s="9" t="inlineStr">
        <is>
          <t>Business Model &amp; Innovation</t>
        </is>
      </c>
      <c r="B22" s="10" t="inlineStr">
        <is>
          <t>Physical Impacts of Climate Change</t>
        </is>
      </c>
      <c r="C22" s="9" t="inlineStr">
        <is>
          <t>Exposure to physical climate effects such as heat, flooding and storms</t>
        </is>
      </c>
      <c r="D22" s="11">
        <f>COUNTIF('Term mapping'!$E$2:$E$68,B22)+COUNTIF('Term mapping'!$F$2:$F$68,B22)</f>
        <v/>
      </c>
      <c r="E22" s="11">
        <f>SUMPRODUCT(('Industry materiality'!$C$2:$C$169=B22)/COUNTIFS('Industry materiality'!$A$2:$A$169,'Industry materiality'!$A$2:$A$169,'Industry materiality'!$C$2:$C$169,'Industry materiality'!$C$2:$C$169))</f>
        <v/>
      </c>
      <c r="F22" s="21">
        <f>B22</f>
        <v/>
      </c>
    </row>
    <row r="23">
      <c r="A23" s="9" t="inlineStr">
        <is>
          <t>Leadership &amp; Governance</t>
        </is>
      </c>
      <c r="B23" s="10" t="inlineStr">
        <is>
          <t>Business Ethics</t>
        </is>
      </c>
      <c r="C23" s="9" t="inlineStr">
        <is>
          <t>Corruption, bribery, fraud and ethical conduct</t>
        </is>
      </c>
      <c r="D23" s="11">
        <f>COUNTIF('Term mapping'!$E$2:$E$68,B23)+COUNTIF('Term mapping'!$F$2:$F$68,B23)</f>
        <v/>
      </c>
      <c r="E23" s="11">
        <f>SUMPRODUCT(('Industry materiality'!$C$2:$C$169=B23)/COUNTIFS('Industry materiality'!$A$2:$A$169,'Industry materiality'!$A$2:$A$169,'Industry materiality'!$C$2:$C$169,'Industry materiality'!$C$2:$C$169))</f>
        <v/>
      </c>
      <c r="F23" s="21">
        <f>B23</f>
        <v/>
      </c>
    </row>
    <row r="24">
      <c r="A24" s="9" t="inlineStr">
        <is>
          <t>Leadership &amp; Governance</t>
        </is>
      </c>
      <c r="B24" s="10" t="inlineStr">
        <is>
          <t>Competitive Behavior</t>
        </is>
      </c>
      <c r="C24" s="9" t="inlineStr">
        <is>
          <t>Anti-competitive practices</t>
        </is>
      </c>
      <c r="D24" s="11">
        <f>COUNTIF('Term mapping'!$E$2:$E$68,B24)+COUNTIF('Term mapping'!$F$2:$F$68,B24)</f>
        <v/>
      </c>
      <c r="E24" s="11">
        <f>SUMPRODUCT(('Industry materiality'!$C$2:$C$169=B24)/COUNTIFS('Industry materiality'!$A$2:$A$169,'Industry materiality'!$A$2:$A$169,'Industry materiality'!$C$2:$C$169,'Industry materiality'!$C$2:$C$169))</f>
        <v/>
      </c>
      <c r="F24" s="21">
        <f>B24</f>
        <v/>
      </c>
    </row>
    <row r="25" ht="25.5" customHeight="1">
      <c r="A25" s="9" t="inlineStr">
        <is>
          <t>Leadership &amp; Governance</t>
        </is>
      </c>
      <c r="B25" s="10" t="inlineStr">
        <is>
          <t>Management of the Legal &amp; Regulatory Environment</t>
        </is>
      </c>
      <c r="C25" s="9" t="inlineStr">
        <is>
          <t>Engagement with regulation and public policy</t>
        </is>
      </c>
      <c r="D25" s="11">
        <f>COUNTIF('Term mapping'!$E$2:$E$68,B25)+COUNTIF('Term mapping'!$F$2:$F$68,B25)</f>
        <v/>
      </c>
      <c r="E25" s="11">
        <f>SUMPRODUCT(('Industry materiality'!$C$2:$C$169=B25)/COUNTIFS('Industry materiality'!$A$2:$A$169,'Industry materiality'!$A$2:$A$169,'Industry materiality'!$C$2:$C$169,'Industry materiality'!$C$2:$C$169))</f>
        <v/>
      </c>
      <c r="F25" s="21">
        <f>B25</f>
        <v/>
      </c>
    </row>
    <row r="26">
      <c r="A26" s="9" t="inlineStr">
        <is>
          <t>Leadership &amp; Governance</t>
        </is>
      </c>
      <c r="B26" s="10" t="inlineStr">
        <is>
          <t>Critical Incident Risk Management</t>
        </is>
      </c>
      <c r="C26" s="9" t="inlineStr">
        <is>
          <t>Preventing and managing major accidents</t>
        </is>
      </c>
      <c r="D26" s="11">
        <f>COUNTIF('Term mapping'!$E$2:$E$68,B26)+COUNTIF('Term mapping'!$F$2:$F$68,B26)</f>
        <v/>
      </c>
      <c r="E26" s="11">
        <f>SUMPRODUCT(('Industry materiality'!$C$2:$C$169=B26)/COUNTIFS('Industry materiality'!$A$2:$A$169,'Industry materiality'!$A$2:$A$169,'Industry materiality'!$C$2:$C$169,'Industry materiality'!$C$2:$C$169))</f>
        <v/>
      </c>
      <c r="F26" s="21">
        <f>B26</f>
        <v/>
      </c>
    </row>
    <row r="27">
      <c r="A27" s="9" t="inlineStr">
        <is>
          <t>Leadership &amp; Governance</t>
        </is>
      </c>
      <c r="B27" s="10" t="inlineStr">
        <is>
          <t>Systemic Risk Management</t>
        </is>
      </c>
      <c r="C27" s="9" t="inlineStr">
        <is>
          <t>Risks the company poses to the wider financial system or economy</t>
        </is>
      </c>
      <c r="D27" s="11">
        <f>COUNTIF('Term mapping'!$E$2:$E$68,B27)+COUNTIF('Term mapping'!$F$2:$F$68,B27)</f>
        <v/>
      </c>
      <c r="E27" s="11">
        <f>SUMPRODUCT(('Industry materiality'!$C$2:$C$169=B27)/COUNTIFS('Industry materiality'!$A$2:$A$169,'Industry materiality'!$A$2:$A$169,'Industry materiality'!$C$2:$C$169,'Industry materiality'!$C$2:$C$169))</f>
        <v/>
      </c>
      <c r="F27" s="21">
        <f>B27</f>
        <v/>
      </c>
    </row>
    <row r="28">
      <c r="F28" s="21" t="inlineStr">
        <is>
          <t>No SASB category</t>
        </is>
      </c>
    </row>
    <row r="30">
      <c r="B30" s="22" t="inlineStr">
        <is>
          <t>Column F feeds the 'Change to' drop-down on the Term mapping sheet.</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C78"/>
  <sheetViews>
    <sheetView zoomScaleNormal="100" workbookViewId="0">
      <pane xSplit="1" ySplit="1" topLeftCell="B2" activePane="bottomRight" state="frozen"/>
      <selection pane="topRight" activeCell="B1" sqref="B1"/>
      <selection pane="bottomLeft" activeCell="A2" sqref="A2"/>
      <selection pane="bottomRight" activeCell="C2" sqref="C2:C78"/>
    </sheetView>
  </sheetViews>
  <sheetFormatPr baseColWidth="8" defaultColWidth="8.7109375" defaultRowHeight="15"/>
  <cols>
    <col width="40" customWidth="1" min="1" max="1"/>
    <col width="62" customWidth="1" min="2" max="2"/>
    <col width="14" customWidth="1" min="3" max="3"/>
  </cols>
  <sheetData>
    <row r="1" ht="31.5" customHeight="1">
      <c r="A1" s="7" t="inlineStr">
        <is>
          <t>SASB sector</t>
        </is>
      </c>
      <c r="B1" s="7" t="inlineStr">
        <is>
          <t>SASB industry</t>
        </is>
      </c>
      <c r="C1" s="7" t="inlineStr">
        <is>
          <t>Companies in our sample</t>
        </is>
      </c>
    </row>
    <row r="2">
      <c r="A2" s="9" t="inlineStr">
        <is>
          <t>Consumer Goods</t>
        </is>
      </c>
      <c r="B2" s="10" t="inlineStr">
        <is>
          <t>Apparel, Accessories &amp; Footwear</t>
        </is>
      </c>
      <c r="C2" s="11">
        <f>COUNTIF('Company industries'!$H$2:$H$66,B2)</f>
        <v/>
      </c>
    </row>
    <row r="3">
      <c r="A3" s="9" t="inlineStr">
        <is>
          <t>Consumer Goods</t>
        </is>
      </c>
      <c r="B3" s="10" t="inlineStr">
        <is>
          <t>Appliance Manufacturing</t>
        </is>
      </c>
      <c r="C3" s="11">
        <f>COUNTIF('Company industries'!$H$2:$H$66,B3)</f>
        <v/>
      </c>
    </row>
    <row r="4">
      <c r="A4" s="9" t="inlineStr">
        <is>
          <t>Consumer Goods</t>
        </is>
      </c>
      <c r="B4" s="10" t="inlineStr">
        <is>
          <t>Building Products &amp; Furnishings</t>
        </is>
      </c>
      <c r="C4" s="11">
        <f>COUNTIF('Company industries'!$H$2:$H$66,B4)</f>
        <v/>
      </c>
    </row>
    <row r="5">
      <c r="A5" s="9" t="inlineStr">
        <is>
          <t>Consumer Goods</t>
        </is>
      </c>
      <c r="B5" s="10" t="inlineStr">
        <is>
          <t>E-Commerce</t>
        </is>
      </c>
      <c r="C5" s="11">
        <f>COUNTIF('Company industries'!$H$2:$H$66,B5)</f>
        <v/>
      </c>
    </row>
    <row r="6">
      <c r="A6" s="9" t="inlineStr">
        <is>
          <t>Consumer Goods</t>
        </is>
      </c>
      <c r="B6" s="10" t="inlineStr">
        <is>
          <t>Household &amp; Personal Products</t>
        </is>
      </c>
      <c r="C6" s="11">
        <f>COUNTIF('Company industries'!$H$2:$H$66,B6)</f>
        <v/>
      </c>
    </row>
    <row r="7">
      <c r="A7" s="9" t="inlineStr">
        <is>
          <t>Consumer Goods</t>
        </is>
      </c>
      <c r="B7" s="10" t="inlineStr">
        <is>
          <t>Multiline and Specialty Retailers &amp; Distributors</t>
        </is>
      </c>
      <c r="C7" s="11">
        <f>COUNTIF('Company industries'!$H$2:$H$66,B7)</f>
        <v/>
      </c>
    </row>
    <row r="8">
      <c r="A8" s="9" t="inlineStr">
        <is>
          <t>Consumer Goods</t>
        </is>
      </c>
      <c r="B8" s="10" t="inlineStr">
        <is>
          <t>Toys &amp; Sporting Goods</t>
        </is>
      </c>
      <c r="C8" s="11">
        <f>COUNTIF('Company industries'!$H$2:$H$66,B8)</f>
        <v/>
      </c>
    </row>
    <row r="9">
      <c r="A9" s="9" t="inlineStr">
        <is>
          <t>Extractives &amp; Minerals Processing</t>
        </is>
      </c>
      <c r="B9" s="10" t="inlineStr">
        <is>
          <t>Coal Operations</t>
        </is>
      </c>
      <c r="C9" s="11">
        <f>COUNTIF('Company industries'!$H$2:$H$66,B9)</f>
        <v/>
      </c>
    </row>
    <row r="10">
      <c r="A10" s="9" t="inlineStr">
        <is>
          <t>Extractives &amp; Minerals Processing</t>
        </is>
      </c>
      <c r="B10" s="10" t="inlineStr">
        <is>
          <t>Construction Materials</t>
        </is>
      </c>
      <c r="C10" s="11">
        <f>COUNTIF('Company industries'!$H$2:$H$66,B10)</f>
        <v/>
      </c>
    </row>
    <row r="11">
      <c r="A11" s="9" t="inlineStr">
        <is>
          <t>Extractives &amp; Minerals Processing</t>
        </is>
      </c>
      <c r="B11" s="10" t="inlineStr">
        <is>
          <t>Iron &amp; Steel Producers</t>
        </is>
      </c>
      <c r="C11" s="11">
        <f>COUNTIF('Company industries'!$H$2:$H$66,B11)</f>
        <v/>
      </c>
    </row>
    <row r="12">
      <c r="A12" s="9" t="inlineStr">
        <is>
          <t>Extractives &amp; Minerals Processing</t>
        </is>
      </c>
      <c r="B12" s="10" t="inlineStr">
        <is>
          <t>Metals &amp; Mining</t>
        </is>
      </c>
      <c r="C12" s="11">
        <f>COUNTIF('Company industries'!$H$2:$H$66,B12)</f>
        <v/>
      </c>
    </row>
    <row r="13">
      <c r="A13" s="9" t="inlineStr">
        <is>
          <t>Extractives &amp; Minerals Processing</t>
        </is>
      </c>
      <c r="B13" s="10" t="inlineStr">
        <is>
          <t>Oil &amp; Gas – Exploration &amp; Production</t>
        </is>
      </c>
      <c r="C13" s="11">
        <f>COUNTIF('Company industries'!$H$2:$H$66,B13)</f>
        <v/>
      </c>
    </row>
    <row r="14">
      <c r="A14" s="9" t="inlineStr">
        <is>
          <t>Extractives &amp; Minerals Processing</t>
        </is>
      </c>
      <c r="B14" s="10" t="inlineStr">
        <is>
          <t>Oil &amp; Gas – Midstream</t>
        </is>
      </c>
      <c r="C14" s="11">
        <f>COUNTIF('Company industries'!$H$2:$H$66,B14)</f>
        <v/>
      </c>
    </row>
    <row r="15">
      <c r="A15" s="9" t="inlineStr">
        <is>
          <t>Extractives &amp; Minerals Processing</t>
        </is>
      </c>
      <c r="B15" s="10" t="inlineStr">
        <is>
          <t>Oil &amp; Gas – Refining &amp; Marketing</t>
        </is>
      </c>
      <c r="C15" s="11">
        <f>COUNTIF('Company industries'!$H$2:$H$66,B15)</f>
        <v/>
      </c>
    </row>
    <row r="16">
      <c r="A16" s="9" t="inlineStr">
        <is>
          <t>Extractives &amp; Minerals Processing</t>
        </is>
      </c>
      <c r="B16" s="10" t="inlineStr">
        <is>
          <t>Oil &amp; Gas – Services</t>
        </is>
      </c>
      <c r="C16" s="11">
        <f>COUNTIF('Company industries'!$H$2:$H$66,B16)</f>
        <v/>
      </c>
    </row>
    <row r="17">
      <c r="A17" s="9" t="inlineStr">
        <is>
          <t>Financials</t>
        </is>
      </c>
      <c r="B17" s="10" t="inlineStr">
        <is>
          <t>Asset Management &amp; Custody Activities</t>
        </is>
      </c>
      <c r="C17" s="11">
        <f>COUNTIF('Company industries'!$H$2:$H$66,B17)</f>
        <v/>
      </c>
    </row>
    <row r="18">
      <c r="A18" s="9" t="inlineStr">
        <is>
          <t>Financials</t>
        </is>
      </c>
      <c r="B18" s="10" t="inlineStr">
        <is>
          <t>Commercial Banks</t>
        </is>
      </c>
      <c r="C18" s="11">
        <f>COUNTIF('Company industries'!$H$2:$H$66,B18)</f>
        <v/>
      </c>
    </row>
    <row r="19">
      <c r="A19" s="9" t="inlineStr">
        <is>
          <t>Financials</t>
        </is>
      </c>
      <c r="B19" s="10" t="inlineStr">
        <is>
          <t>Consumer Finance</t>
        </is>
      </c>
      <c r="C19" s="11">
        <f>COUNTIF('Company industries'!$H$2:$H$66,B19)</f>
        <v/>
      </c>
    </row>
    <row r="20">
      <c r="A20" s="9" t="inlineStr">
        <is>
          <t>Financials</t>
        </is>
      </c>
      <c r="B20" s="10" t="inlineStr">
        <is>
          <t>Insurance</t>
        </is>
      </c>
      <c r="C20" s="11">
        <f>COUNTIF('Company industries'!$H$2:$H$66,B20)</f>
        <v/>
      </c>
    </row>
    <row r="21">
      <c r="A21" s="9" t="inlineStr">
        <is>
          <t>Financials</t>
        </is>
      </c>
      <c r="B21" s="10" t="inlineStr">
        <is>
          <t>Investment Banking &amp; Brokerage</t>
        </is>
      </c>
      <c r="C21" s="11">
        <f>COUNTIF('Company industries'!$H$2:$H$66,B21)</f>
        <v/>
      </c>
    </row>
    <row r="22">
      <c r="A22" s="9" t="inlineStr">
        <is>
          <t>Financials</t>
        </is>
      </c>
      <c r="B22" s="10" t="inlineStr">
        <is>
          <t>Mortgage Finance</t>
        </is>
      </c>
      <c r="C22" s="11">
        <f>COUNTIF('Company industries'!$H$2:$H$66,B22)</f>
        <v/>
      </c>
    </row>
    <row r="23">
      <c r="A23" s="9" t="inlineStr">
        <is>
          <t>Financials</t>
        </is>
      </c>
      <c r="B23" s="10" t="inlineStr">
        <is>
          <t>Security &amp; Commodity Exchanges</t>
        </is>
      </c>
      <c r="C23" s="11">
        <f>COUNTIF('Company industries'!$H$2:$H$66,B23)</f>
        <v/>
      </c>
    </row>
    <row r="24">
      <c r="A24" s="9" t="inlineStr">
        <is>
          <t>Food &amp; Beverage</t>
        </is>
      </c>
      <c r="B24" s="10" t="inlineStr">
        <is>
          <t>Agricultural Products</t>
        </is>
      </c>
      <c r="C24" s="11">
        <f>COUNTIF('Company industries'!$H$2:$H$66,B24)</f>
        <v/>
      </c>
    </row>
    <row r="25">
      <c r="A25" s="9" t="inlineStr">
        <is>
          <t>Food &amp; Beverage</t>
        </is>
      </c>
      <c r="B25" s="10" t="inlineStr">
        <is>
          <t>Alcoholic Beverages</t>
        </is>
      </c>
      <c r="C25" s="11">
        <f>COUNTIF('Company industries'!$H$2:$H$66,B25)</f>
        <v/>
      </c>
    </row>
    <row r="26">
      <c r="A26" s="9" t="inlineStr">
        <is>
          <t>Food &amp; Beverage</t>
        </is>
      </c>
      <c r="B26" s="10" t="inlineStr">
        <is>
          <t>Food Retailers &amp; Distributors</t>
        </is>
      </c>
      <c r="C26" s="11">
        <f>COUNTIF('Company industries'!$H$2:$H$66,B26)</f>
        <v/>
      </c>
    </row>
    <row r="27">
      <c r="A27" s="9" t="inlineStr">
        <is>
          <t>Food &amp; Beverage</t>
        </is>
      </c>
      <c r="B27" s="10" t="inlineStr">
        <is>
          <t>Meat, Poultry &amp; Dairy</t>
        </is>
      </c>
      <c r="C27" s="11">
        <f>COUNTIF('Company industries'!$H$2:$H$66,B27)</f>
        <v/>
      </c>
    </row>
    <row r="28">
      <c r="A28" s="9" t="inlineStr">
        <is>
          <t>Food &amp; Beverage</t>
        </is>
      </c>
      <c r="B28" s="10" t="inlineStr">
        <is>
          <t>Non-Alcoholic Beverages</t>
        </is>
      </c>
      <c r="C28" s="11">
        <f>COUNTIF('Company industries'!$H$2:$H$66,B28)</f>
        <v/>
      </c>
    </row>
    <row r="29">
      <c r="A29" s="9" t="inlineStr">
        <is>
          <t>Food &amp; Beverage</t>
        </is>
      </c>
      <c r="B29" s="10" t="inlineStr">
        <is>
          <t>Processed Foods</t>
        </is>
      </c>
      <c r="C29" s="11">
        <f>COUNTIF('Company industries'!$H$2:$H$66,B29)</f>
        <v/>
      </c>
    </row>
    <row r="30">
      <c r="A30" s="9" t="inlineStr">
        <is>
          <t>Food &amp; Beverage</t>
        </is>
      </c>
      <c r="B30" s="10" t="inlineStr">
        <is>
          <t>Restaurants</t>
        </is>
      </c>
      <c r="C30" s="11">
        <f>COUNTIF('Company industries'!$H$2:$H$66,B30)</f>
        <v/>
      </c>
    </row>
    <row r="31">
      <c r="A31" s="9" t="inlineStr">
        <is>
          <t>Food &amp; Beverage</t>
        </is>
      </c>
      <c r="B31" s="10" t="inlineStr">
        <is>
          <t>Tobacco</t>
        </is>
      </c>
      <c r="C31" s="11">
        <f>COUNTIF('Company industries'!$H$2:$H$66,B31)</f>
        <v/>
      </c>
    </row>
    <row r="32">
      <c r="A32" s="9" t="inlineStr">
        <is>
          <t>Health Care</t>
        </is>
      </c>
      <c r="B32" s="10" t="inlineStr">
        <is>
          <t>Biotechnology &amp; Pharmaceuticals</t>
        </is>
      </c>
      <c r="C32" s="11">
        <f>COUNTIF('Company industries'!$H$2:$H$66,B32)</f>
        <v/>
      </c>
    </row>
    <row r="33">
      <c r="A33" s="9" t="inlineStr">
        <is>
          <t>Health Care</t>
        </is>
      </c>
      <c r="B33" s="10" t="inlineStr">
        <is>
          <t>Drug Retailers</t>
        </is>
      </c>
      <c r="C33" s="11">
        <f>COUNTIF('Company industries'!$H$2:$H$66,B33)</f>
        <v/>
      </c>
    </row>
    <row r="34">
      <c r="A34" s="9" t="inlineStr">
        <is>
          <t>Health Care</t>
        </is>
      </c>
      <c r="B34" s="10" t="inlineStr">
        <is>
          <t>Health Care Delivery</t>
        </is>
      </c>
      <c r="C34" s="11">
        <f>COUNTIF('Company industries'!$H$2:$H$66,B34)</f>
        <v/>
      </c>
    </row>
    <row r="35">
      <c r="A35" s="9" t="inlineStr">
        <is>
          <t>Health Care</t>
        </is>
      </c>
      <c r="B35" s="10" t="inlineStr">
        <is>
          <t>Health Care Distributors</t>
        </is>
      </c>
      <c r="C35" s="11">
        <f>COUNTIF('Company industries'!$H$2:$H$66,B35)</f>
        <v/>
      </c>
    </row>
    <row r="36">
      <c r="A36" s="9" t="inlineStr">
        <is>
          <t>Health Care</t>
        </is>
      </c>
      <c r="B36" s="10" t="inlineStr">
        <is>
          <t>Managed Care</t>
        </is>
      </c>
      <c r="C36" s="11">
        <f>COUNTIF('Company industries'!$H$2:$H$66,B36)</f>
        <v/>
      </c>
    </row>
    <row r="37">
      <c r="A37" s="9" t="inlineStr">
        <is>
          <t>Health Care</t>
        </is>
      </c>
      <c r="B37" s="10" t="inlineStr">
        <is>
          <t>Medical Equipment &amp; Supplies</t>
        </is>
      </c>
      <c r="C37" s="11">
        <f>COUNTIF('Company industries'!$H$2:$H$66,B37)</f>
        <v/>
      </c>
    </row>
    <row r="38">
      <c r="A38" s="9" t="inlineStr">
        <is>
          <t>Infrastructure</t>
        </is>
      </c>
      <c r="B38" s="10" t="inlineStr">
        <is>
          <t>Electric Utilities &amp; Power Generators</t>
        </is>
      </c>
      <c r="C38" s="11">
        <f>COUNTIF('Company industries'!$H$2:$H$66,B38)</f>
        <v/>
      </c>
    </row>
    <row r="39">
      <c r="A39" s="9" t="inlineStr">
        <is>
          <t>Infrastructure</t>
        </is>
      </c>
      <c r="B39" s="10" t="inlineStr">
        <is>
          <t>Engineering &amp; Construction Services</t>
        </is>
      </c>
      <c r="C39" s="11">
        <f>COUNTIF('Company industries'!$H$2:$H$66,B39)</f>
        <v/>
      </c>
    </row>
    <row r="40">
      <c r="A40" s="9" t="inlineStr">
        <is>
          <t>Infrastructure</t>
        </is>
      </c>
      <c r="B40" s="10" t="inlineStr">
        <is>
          <t>Gas Utilities &amp; Distributors</t>
        </is>
      </c>
      <c r="C40" s="11">
        <f>COUNTIF('Company industries'!$H$2:$H$66,B40)</f>
        <v/>
      </c>
    </row>
    <row r="41">
      <c r="A41" s="9" t="inlineStr">
        <is>
          <t>Infrastructure</t>
        </is>
      </c>
      <c r="B41" s="10" t="inlineStr">
        <is>
          <t>Home Builders</t>
        </is>
      </c>
      <c r="C41" s="11">
        <f>COUNTIF('Company industries'!$H$2:$H$66,B41)</f>
        <v/>
      </c>
    </row>
    <row r="42">
      <c r="A42" s="9" t="inlineStr">
        <is>
          <t>Infrastructure</t>
        </is>
      </c>
      <c r="B42" s="10" t="inlineStr">
        <is>
          <t>Real Estate</t>
        </is>
      </c>
      <c r="C42" s="11">
        <f>COUNTIF('Company industries'!$H$2:$H$66,B42)</f>
        <v/>
      </c>
    </row>
    <row r="43">
      <c r="A43" s="9" t="inlineStr">
        <is>
          <t>Infrastructure</t>
        </is>
      </c>
      <c r="B43" s="10" t="inlineStr">
        <is>
          <t>Real Estate Services</t>
        </is>
      </c>
      <c r="C43" s="11">
        <f>COUNTIF('Company industries'!$H$2:$H$66,B43)</f>
        <v/>
      </c>
    </row>
    <row r="44">
      <c r="A44" s="9" t="inlineStr">
        <is>
          <t>Infrastructure</t>
        </is>
      </c>
      <c r="B44" s="10" t="inlineStr">
        <is>
          <t>Waste Management</t>
        </is>
      </c>
      <c r="C44" s="11">
        <f>COUNTIF('Company industries'!$H$2:$H$66,B44)</f>
        <v/>
      </c>
    </row>
    <row r="45">
      <c r="A45" s="9" t="inlineStr">
        <is>
          <t>Infrastructure</t>
        </is>
      </c>
      <c r="B45" s="10" t="inlineStr">
        <is>
          <t>Water Utilities &amp; Services</t>
        </is>
      </c>
      <c r="C45" s="11">
        <f>COUNTIF('Company industries'!$H$2:$H$66,B45)</f>
        <v/>
      </c>
    </row>
    <row r="46">
      <c r="A46" s="9" t="inlineStr">
        <is>
          <t>Renewable Resources &amp; Alternative Energy</t>
        </is>
      </c>
      <c r="B46" s="10" t="inlineStr">
        <is>
          <t>Biofuels</t>
        </is>
      </c>
      <c r="C46" s="11">
        <f>COUNTIF('Company industries'!$H$2:$H$66,B46)</f>
        <v/>
      </c>
    </row>
    <row r="47">
      <c r="A47" s="9" t="inlineStr">
        <is>
          <t>Renewable Resources &amp; Alternative Energy</t>
        </is>
      </c>
      <c r="B47" s="10" t="inlineStr">
        <is>
          <t>Forestry Management</t>
        </is>
      </c>
      <c r="C47" s="11">
        <f>COUNTIF('Company industries'!$H$2:$H$66,B47)</f>
        <v/>
      </c>
    </row>
    <row r="48">
      <c r="A48" s="9" t="inlineStr">
        <is>
          <t>Renewable Resources &amp; Alternative Energy</t>
        </is>
      </c>
      <c r="B48" s="10" t="inlineStr">
        <is>
          <t>Fuel Cells &amp; Industrial Batteries</t>
        </is>
      </c>
      <c r="C48" s="11">
        <f>COUNTIF('Company industries'!$H$2:$H$66,B48)</f>
        <v/>
      </c>
    </row>
    <row r="49">
      <c r="A49" s="9" t="inlineStr">
        <is>
          <t>Renewable Resources &amp; Alternative Energy</t>
        </is>
      </c>
      <c r="B49" s="10" t="inlineStr">
        <is>
          <t>Pulp &amp; Paper Products</t>
        </is>
      </c>
      <c r="C49" s="11">
        <f>COUNTIF('Company industries'!$H$2:$H$66,B49)</f>
        <v/>
      </c>
    </row>
    <row r="50">
      <c r="A50" s="9" t="inlineStr">
        <is>
          <t>Renewable Resources &amp; Alternative Energy</t>
        </is>
      </c>
      <c r="B50" s="10" t="inlineStr">
        <is>
          <t>Solar Technology &amp; Project Developers</t>
        </is>
      </c>
      <c r="C50" s="11">
        <f>COUNTIF('Company industries'!$H$2:$H$66,B50)</f>
        <v/>
      </c>
    </row>
    <row r="51">
      <c r="A51" s="9" t="inlineStr">
        <is>
          <t>Renewable Resources &amp; Alternative Energy</t>
        </is>
      </c>
      <c r="B51" s="10" t="inlineStr">
        <is>
          <t>Wind Technology &amp; Project Developers</t>
        </is>
      </c>
      <c r="C51" s="11">
        <f>COUNTIF('Company industries'!$H$2:$H$66,B51)</f>
        <v/>
      </c>
    </row>
    <row r="52">
      <c r="A52" s="9" t="inlineStr">
        <is>
          <t>Resource Transformation</t>
        </is>
      </c>
      <c r="B52" s="10" t="inlineStr">
        <is>
          <t>Aerospace &amp; Defense</t>
        </is>
      </c>
      <c r="C52" s="11">
        <f>COUNTIF('Company industries'!$H$2:$H$66,B52)</f>
        <v/>
      </c>
    </row>
    <row r="53">
      <c r="A53" s="9" t="inlineStr">
        <is>
          <t>Resource Transformation</t>
        </is>
      </c>
      <c r="B53" s="10" t="inlineStr">
        <is>
          <t>Chemicals</t>
        </is>
      </c>
      <c r="C53" s="11">
        <f>COUNTIF('Company industries'!$H$2:$H$66,B53)</f>
        <v/>
      </c>
    </row>
    <row r="54">
      <c r="A54" s="9" t="inlineStr">
        <is>
          <t>Resource Transformation</t>
        </is>
      </c>
      <c r="B54" s="10" t="inlineStr">
        <is>
          <t>Containers &amp; Packaging</t>
        </is>
      </c>
      <c r="C54" s="11">
        <f>COUNTIF('Company industries'!$H$2:$H$66,B54)</f>
        <v/>
      </c>
    </row>
    <row r="55">
      <c r="A55" s="9" t="inlineStr">
        <is>
          <t>Resource Transformation</t>
        </is>
      </c>
      <c r="B55" s="10" t="inlineStr">
        <is>
          <t>Electrical &amp; Electronic Equipment</t>
        </is>
      </c>
      <c r="C55" s="11">
        <f>COUNTIF('Company industries'!$H$2:$H$66,B55)</f>
        <v/>
      </c>
    </row>
    <row r="56">
      <c r="A56" s="9" t="inlineStr">
        <is>
          <t>Resource Transformation</t>
        </is>
      </c>
      <c r="B56" s="10" t="inlineStr">
        <is>
          <t>Industrial Machinery &amp; Goods</t>
        </is>
      </c>
      <c r="C56" s="11">
        <f>COUNTIF('Company industries'!$H$2:$H$66,B56)</f>
        <v/>
      </c>
    </row>
    <row r="57">
      <c r="A57" s="9" t="inlineStr">
        <is>
          <t>Services</t>
        </is>
      </c>
      <c r="B57" s="10" t="inlineStr">
        <is>
          <t>Advertising &amp; Marketing</t>
        </is>
      </c>
      <c r="C57" s="11">
        <f>COUNTIF('Company industries'!$H$2:$H$66,B57)</f>
        <v/>
      </c>
    </row>
    <row r="58">
      <c r="A58" s="9" t="inlineStr">
        <is>
          <t>Services</t>
        </is>
      </c>
      <c r="B58" s="10" t="inlineStr">
        <is>
          <t>Casinos &amp; Gaming</t>
        </is>
      </c>
      <c r="C58" s="11">
        <f>COUNTIF('Company industries'!$H$2:$H$66,B58)</f>
        <v/>
      </c>
    </row>
    <row r="59">
      <c r="A59" s="9" t="inlineStr">
        <is>
          <t>Services</t>
        </is>
      </c>
      <c r="B59" s="10" t="inlineStr">
        <is>
          <t>Education</t>
        </is>
      </c>
      <c r="C59" s="11">
        <f>COUNTIF('Company industries'!$H$2:$H$66,B59)</f>
        <v/>
      </c>
    </row>
    <row r="60">
      <c r="A60" s="9" t="inlineStr">
        <is>
          <t>Services</t>
        </is>
      </c>
      <c r="B60" s="10" t="inlineStr">
        <is>
          <t>Hotels &amp; Lodging</t>
        </is>
      </c>
      <c r="C60" s="11">
        <f>COUNTIF('Company industries'!$H$2:$H$66,B60)</f>
        <v/>
      </c>
    </row>
    <row r="61">
      <c r="A61" s="9" t="inlineStr">
        <is>
          <t>Services</t>
        </is>
      </c>
      <c r="B61" s="10" t="inlineStr">
        <is>
          <t>Leisure Facilities</t>
        </is>
      </c>
      <c r="C61" s="11">
        <f>COUNTIF('Company industries'!$H$2:$H$66,B61)</f>
        <v/>
      </c>
    </row>
    <row r="62">
      <c r="A62" s="9" t="inlineStr">
        <is>
          <t>Services</t>
        </is>
      </c>
      <c r="B62" s="10" t="inlineStr">
        <is>
          <t>Media &amp; Entertainment</t>
        </is>
      </c>
      <c r="C62" s="11">
        <f>COUNTIF('Company industries'!$H$2:$H$66,B62)</f>
        <v/>
      </c>
    </row>
    <row r="63">
      <c r="A63" s="9" t="inlineStr">
        <is>
          <t>Services</t>
        </is>
      </c>
      <c r="B63" s="10" t="inlineStr">
        <is>
          <t>Professional &amp; Commercial Services</t>
        </is>
      </c>
      <c r="C63" s="11">
        <f>COUNTIF('Company industries'!$H$2:$H$66,B63)</f>
        <v/>
      </c>
    </row>
    <row r="64" ht="25.5" customHeight="1">
      <c r="A64" s="9" t="inlineStr">
        <is>
          <t>Technology &amp; Communications</t>
        </is>
      </c>
      <c r="B64" s="10" t="inlineStr">
        <is>
          <t>Electronic Manufacturing Services &amp; Original Design Manufacturing</t>
        </is>
      </c>
      <c r="C64" s="11">
        <f>COUNTIF('Company industries'!$H$2:$H$66,B64)</f>
        <v/>
      </c>
    </row>
    <row r="65">
      <c r="A65" s="9" t="inlineStr">
        <is>
          <t>Technology &amp; Communications</t>
        </is>
      </c>
      <c r="B65" s="10" t="inlineStr">
        <is>
          <t>Hardware</t>
        </is>
      </c>
      <c r="C65" s="11">
        <f>COUNTIF('Company industries'!$H$2:$H$66,B65)</f>
        <v/>
      </c>
    </row>
    <row r="66">
      <c r="A66" s="9" t="inlineStr">
        <is>
          <t>Technology &amp; Communications</t>
        </is>
      </c>
      <c r="B66" s="10" t="inlineStr">
        <is>
          <t>Internet Media &amp; Services</t>
        </is>
      </c>
      <c r="C66" s="11">
        <f>COUNTIF('Company industries'!$H$2:$H$66,B66)</f>
        <v/>
      </c>
    </row>
    <row r="67">
      <c r="A67" s="9" t="inlineStr">
        <is>
          <t>Technology &amp; Communications</t>
        </is>
      </c>
      <c r="B67" s="10" t="inlineStr">
        <is>
          <t>Semiconductors</t>
        </is>
      </c>
      <c r="C67" s="11">
        <f>COUNTIF('Company industries'!$H$2:$H$66,B67)</f>
        <v/>
      </c>
    </row>
    <row r="68">
      <c r="A68" s="9" t="inlineStr">
        <is>
          <t>Technology &amp; Communications</t>
        </is>
      </c>
      <c r="B68" s="10" t="inlineStr">
        <is>
          <t>Software &amp; IT Services</t>
        </is>
      </c>
      <c r="C68" s="11">
        <f>COUNTIF('Company industries'!$H$2:$H$66,B68)</f>
        <v/>
      </c>
    </row>
    <row r="69">
      <c r="A69" s="9" t="inlineStr">
        <is>
          <t>Technology &amp; Communications</t>
        </is>
      </c>
      <c r="B69" s="10" t="inlineStr">
        <is>
          <t>Telecommunication Services</t>
        </is>
      </c>
      <c r="C69" s="11">
        <f>COUNTIF('Company industries'!$H$2:$H$66,B69)</f>
        <v/>
      </c>
    </row>
    <row r="70">
      <c r="A70" s="9" t="inlineStr">
        <is>
          <t>Transportation</t>
        </is>
      </c>
      <c r="B70" s="10" t="inlineStr">
        <is>
          <t>Air Freight &amp; Logistics</t>
        </is>
      </c>
      <c r="C70" s="11">
        <f>COUNTIF('Company industries'!$H$2:$H$66,B70)</f>
        <v/>
      </c>
    </row>
    <row r="71">
      <c r="A71" s="9" t="inlineStr">
        <is>
          <t>Transportation</t>
        </is>
      </c>
      <c r="B71" s="10" t="inlineStr">
        <is>
          <t>Airlines</t>
        </is>
      </c>
      <c r="C71" s="11">
        <f>COUNTIF('Company industries'!$H$2:$H$66,B71)</f>
        <v/>
      </c>
    </row>
    <row r="72">
      <c r="A72" s="9" t="inlineStr">
        <is>
          <t>Transportation</t>
        </is>
      </c>
      <c r="B72" s="10" t="inlineStr">
        <is>
          <t>Auto Parts</t>
        </is>
      </c>
      <c r="C72" s="11">
        <f>COUNTIF('Company industries'!$H$2:$H$66,B72)</f>
        <v/>
      </c>
    </row>
    <row r="73">
      <c r="A73" s="9" t="inlineStr">
        <is>
          <t>Transportation</t>
        </is>
      </c>
      <c r="B73" s="10" t="inlineStr">
        <is>
          <t>Automobiles</t>
        </is>
      </c>
      <c r="C73" s="11">
        <f>COUNTIF('Company industries'!$H$2:$H$66,B73)</f>
        <v/>
      </c>
    </row>
    <row r="74">
      <c r="A74" s="9" t="inlineStr">
        <is>
          <t>Transportation</t>
        </is>
      </c>
      <c r="B74" s="10" t="inlineStr">
        <is>
          <t>Car Rental &amp; Leasing</t>
        </is>
      </c>
      <c r="C74" s="11">
        <f>COUNTIF('Company industries'!$H$2:$H$66,B74)</f>
        <v/>
      </c>
    </row>
    <row r="75">
      <c r="A75" s="9" t="inlineStr">
        <is>
          <t>Transportation</t>
        </is>
      </c>
      <c r="B75" s="10" t="inlineStr">
        <is>
          <t>Cruise Lines</t>
        </is>
      </c>
      <c r="C75" s="11">
        <f>COUNTIF('Company industries'!$H$2:$H$66,B75)</f>
        <v/>
      </c>
    </row>
    <row r="76">
      <c r="A76" s="9" t="inlineStr">
        <is>
          <t>Transportation</t>
        </is>
      </c>
      <c r="B76" s="10" t="inlineStr">
        <is>
          <t>Marine Transportation</t>
        </is>
      </c>
      <c r="C76" s="11">
        <f>COUNTIF('Company industries'!$H$2:$H$66,B76)</f>
        <v/>
      </c>
    </row>
    <row r="77">
      <c r="A77" s="9" t="inlineStr">
        <is>
          <t>Transportation</t>
        </is>
      </c>
      <c r="B77" s="10" t="inlineStr">
        <is>
          <t>Rail Transportation</t>
        </is>
      </c>
      <c r="C77" s="11">
        <f>COUNTIF('Company industries'!$H$2:$H$66,B77)</f>
        <v/>
      </c>
    </row>
    <row r="78">
      <c r="A78" s="9" t="inlineStr">
        <is>
          <t>Transportation</t>
        </is>
      </c>
      <c r="B78" s="10" t="inlineStr">
        <is>
          <t>Road Transportation</t>
        </is>
      </c>
      <c r="C78" s="11">
        <f>COUNTIF('Company industries'!$H$2:$H$66,B78)</f>
        <v/>
      </c>
    </row>
  </sheetData>
  <autoFilter ref="A1:C7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2026-10-06T13:27:33Z</dcterms:created>
  <dcterms:modified xsi:type="dcterms:W3CDTF">2026-10-21T08:25:06Z</dcterms:modified>
  <cp:lastModifiedBy>ana.muhandis@protonmail.com</cp:lastModifiedBy>
  <cp:revision>0</cp:revision>
</cp:coreProperties>
</file>